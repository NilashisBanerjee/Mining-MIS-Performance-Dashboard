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G:\BIPL\Dashboard\"/>
    </mc:Choice>
  </mc:AlternateContent>
  <bookViews>
    <workbookView xWindow="0" yWindow="0" windowWidth="15360" windowHeight="7155" activeTab="2"/>
  </bookViews>
  <sheets>
    <sheet name="DATA" sheetId="1" r:id="rId1"/>
    <sheet name="Pivot" sheetId="4" r:id="rId2"/>
    <sheet name="DASHBOARD" sheetId="2" r:id="rId3"/>
  </sheets>
  <definedNames>
    <definedName name="Slicer_Shift_In_Charge_Name">#N/A</definedName>
  </definedNames>
  <calcPr calcId="152511"/>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<sst xmlns="http://schemas.openxmlformats.org/spreadsheetml/2006/main" count="77" uniqueCount="47">
  <si>
    <t>Site</t>
  </si>
  <si>
    <t>HEMM Analytical Report Summary</t>
  </si>
  <si>
    <t>FROM DATE -</t>
  </si>
  <si>
    <t>PROG.-</t>
  </si>
  <si>
    <t>Wr. Hrs.</t>
  </si>
  <si>
    <t>Prod. Used Hrs.</t>
  </si>
  <si>
    <t>VOLO
Trip</t>
  </si>
  <si>
    <t>EICHER
Trip</t>
  </si>
  <si>
    <t>Approx Prod. Worked Qnty (M3)</t>
  </si>
  <si>
    <t>Prod Trip/Hrs</t>
  </si>
  <si>
    <t>Prod. M3 / Hr.</t>
  </si>
  <si>
    <t>TOTAL</t>
  </si>
  <si>
    <t>Shift In-Charge Performance Report</t>
  </si>
  <si>
    <t>KMPL Summary</t>
  </si>
  <si>
    <t>Shift In-Charge Name</t>
  </si>
  <si>
    <t>Total Trip</t>
  </si>
  <si>
    <t>Observations Point:-</t>
  </si>
  <si>
    <t>1) Excavator Idel due to Others,if any with reason</t>
  </si>
  <si>
    <t>Hrs</t>
  </si>
  <si>
    <t>Hrs/Day</t>
  </si>
  <si>
    <t>VOLVO FMX 460</t>
  </si>
  <si>
    <t>C</t>
  </si>
  <si>
    <t>B</t>
  </si>
  <si>
    <t>A</t>
  </si>
  <si>
    <t>RELAY</t>
  </si>
  <si>
    <t>Leaf Spring
Broken</t>
  </si>
  <si>
    <t>Row Labels</t>
  </si>
  <si>
    <t>Grand Total</t>
  </si>
  <si>
    <t>Sum of Approx Prod. Worked Qnty (M3)</t>
  </si>
  <si>
    <t>Sum of Total Trip</t>
  </si>
  <si>
    <t>Sum of Leaf Spring
Broken</t>
  </si>
  <si>
    <t>Average of Prod Trip/Hrs</t>
  </si>
  <si>
    <t>Average of Prod. M3 / Hr.</t>
  </si>
  <si>
    <t>KPI'S</t>
  </si>
  <si>
    <t>Total Quantity Shift Inchage Wise</t>
  </si>
  <si>
    <t>Average of Approx Prod. Worked Qnty (M3)</t>
  </si>
  <si>
    <t>Total Trip Shift Inchage Wise</t>
  </si>
  <si>
    <t>Total Leaf Spring Broken Shift Inchage Wise</t>
  </si>
  <si>
    <t>Sum of Prod Trip/Hrs</t>
  </si>
  <si>
    <t>Monthly Prod Trip/Hrs</t>
  </si>
  <si>
    <t>Sum of Prod. M3 / Hr.</t>
  </si>
  <si>
    <t>Monthly Prod M3/Hr</t>
  </si>
  <si>
    <t>Summary of HEMM Analytical Report for the month of May'26</t>
  </si>
  <si>
    <t>Raipur</t>
  </si>
  <si>
    <t>AMAN</t>
  </si>
  <si>
    <t>RISHI</t>
  </si>
  <si>
    <t>RAHUL</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</si>
</sst>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0.00_-;\-* #,##0.00_-;_-* &quot;-&quot;??_-;_-@_-"/>
    <numFmt numFmtId="164" formatCode="_ * #,##0.00_ ;_ * \-#,##0.00_ ;_ * &quot;-&quot;??_ ;_ @_ "/>
    <numFmt numFmtId="165" formatCode="_(* #,##0.00_);_(* \(#,##0.00\);_(* &quot;-&quot;??_);_(@_)"/>
    <numFmt numFmtId="166" formatCode="_(* #,##0_);_(* \(#,##0\);_(* &quot;-&quot;??_);_(@_)"/>
    <numFmt numFmtId="167" formatCode="_(* #,##0.0_);_(* \(#,##0.0\);_(* &quot;-&quot;??_);_(@_)"/>
    <numFmt numFmtId="168" formatCode="#,##0;[Red]#,##0"/>
  </numFmts>
  <fonts count="18" x14ac:knownFonts="1">
    <font>
      <sz val="11"/>
      <color theme="1"/>
      <name val="Calibri"/>
      <family val="2"/>
      <scheme val="minor"/>
    </font>
    <font>
      <sz val="11"/>
      <color theme="1"/>
      <name val="Calibri"/>
      <family val="2"/>
      <scheme val="minor"/>
    </font>
    <font>
      <sz val="11"/>
      <color theme="0"/>
      <name val="Calibri"/>
      <family val="2"/>
      <scheme val="minor"/>
    </font>
    <font>
      <sz val="9"/>
      <color theme="1"/>
      <name val="Calibri"/>
      <family val="2"/>
    </font>
    <font>
      <sz val="11"/>
      <color theme="0"/>
      <name val="Calibri"/>
      <family val="2"/>
    </font>
    <font>
      <b/>
      <i/>
      <sz val="11"/>
      <color theme="0"/>
      <name val="Calibri"/>
      <family val="2"/>
    </font>
    <font>
      <b/>
      <i/>
      <sz val="11"/>
      <name val="Calibri"/>
      <family val="2"/>
    </font>
    <font>
      <b/>
      <sz val="11"/>
      <color theme="1"/>
      <name val="Calibri"/>
      <family val="2"/>
    </font>
    <font>
      <b/>
      <sz val="9"/>
      <color theme="1"/>
      <name val="Calibri"/>
      <family val="2"/>
    </font>
    <font>
      <sz val="9"/>
      <color theme="0"/>
      <name val="Calibri"/>
      <family val="2"/>
    </font>
    <font>
      <b/>
      <sz val="9"/>
      <color theme="0"/>
      <name val="Calibri"/>
      <family val="2"/>
    </font>
    <font>
      <b/>
      <sz val="9"/>
      <name val="Calibri"/>
      <family val="2"/>
    </font>
    <font>
      <sz val="9"/>
      <name val="Calibri"/>
      <family val="2"/>
    </font>
    <font>
      <b/>
      <sz val="10"/>
      <color theme="1"/>
      <name val="Calibri"/>
      <family val="2"/>
    </font>
    <font>
      <b/>
      <sz val="9"/>
      <color rgb="FFFF0000"/>
      <name val="Calibri"/>
      <family val="2"/>
    </font>
    <font>
      <sz val="9"/>
      <color rgb="FFFF0000"/>
      <name val="Calibri"/>
      <family val="2"/>
    </font>
    <font>
      <b/>
      <sz val="11"/>
      <color theme="1"/>
      <name val="Calibri"/>
      <family val="2"/>
      <scheme val="minor"/>
    </font>
    <font>
      <b/>
      <sz val="18"/>
      <color theme="1"/>
      <name val="Calibri"/>
      <family val="2"/>
      <scheme val="minor"/>
    </font>
  </fonts>
  <fills count="22">
    <fill>
      <patternFill patternType="none"/>
    </fill>
    <fill>
      <patternFill patternType="gray125"/>
    </fill>
    <fill>
      <patternFill patternType="solid">
        <fgColor rgb="FFFFFFCC"/>
      </patternFill>
    </fill>
    <fill>
      <patternFill patternType="solid">
        <fgColor theme="4"/>
      </patternFill>
    </fill>
    <fill>
      <patternFill patternType="solid">
        <fgColor theme="5"/>
      </patternFill>
    </fill>
    <fill>
      <patternFill patternType="solid">
        <fgColor theme="7"/>
      </patternFill>
    </fill>
    <fill>
      <patternFill patternType="solid">
        <fgColor theme="3" tint="-0.499984740745262"/>
        <bgColor indexed="64"/>
      </patternFill>
    </fill>
    <fill>
      <patternFill patternType="solid">
        <fgColor rgb="FFFFC000"/>
        <bgColor indexed="64"/>
      </patternFill>
    </fill>
    <fill>
      <patternFill patternType="solid">
        <fgColor theme="1"/>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5" tint="-0.499984740745262"/>
        <bgColor indexed="64"/>
      </patternFill>
    </fill>
    <fill>
      <patternFill patternType="solid">
        <fgColor theme="6" tint="-0.499984740745262"/>
        <bgColor indexed="64"/>
      </patternFill>
    </fill>
    <fill>
      <patternFill patternType="solid">
        <fgColor rgb="FFFFFFCC"/>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CCFF66"/>
        <bgColor indexed="64"/>
      </patternFill>
    </fill>
    <fill>
      <patternFill patternType="solid">
        <fgColor theme="9" tint="0.59999389629810485"/>
        <bgColor indexed="64"/>
      </patternFill>
    </fill>
    <fill>
      <patternFill patternType="solid">
        <fgColor rgb="FFFFCCFF"/>
        <bgColor indexed="64"/>
      </patternFill>
    </fill>
    <fill>
      <patternFill patternType="solid">
        <fgColor rgb="FFFFFF00"/>
        <bgColor indexed="64"/>
      </patternFill>
    </fill>
  </fills>
  <borders count="37">
    <border>
      <left/>
      <right/>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diagonal/>
    </border>
    <border>
      <left/>
      <right style="thin">
        <color theme="1" tint="0.499984740745262"/>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indexed="64"/>
      </right>
      <top/>
      <bottom/>
      <diagonal/>
    </border>
    <border>
      <left/>
      <right style="thin">
        <color theme="0" tint="-0.249977111117893"/>
      </right>
      <top/>
      <bottom style="thin">
        <color theme="0" tint="-0.249977111117893"/>
      </bottom>
      <diagonal/>
    </border>
    <border>
      <left style="thin">
        <color theme="1" tint="0.499984740745262"/>
      </left>
      <right style="thin">
        <color theme="1" tint="0.499984740745262"/>
      </right>
      <top style="thin">
        <color theme="1" tint="0.499984740745262"/>
      </top>
      <bottom style="thin">
        <color theme="0" tint="-0.249977111117893"/>
      </bottom>
      <diagonal/>
    </border>
    <border>
      <left style="thin">
        <color theme="1" tint="0.499984740745262"/>
      </left>
      <right style="thin">
        <color theme="1" tint="0.499984740745262"/>
      </right>
      <top style="thin">
        <color theme="1" tint="0.499984740745262"/>
      </top>
      <bottom/>
      <diagonal/>
    </border>
    <border>
      <left/>
      <right style="thin">
        <color indexed="64"/>
      </right>
      <top style="thin">
        <color indexed="64"/>
      </top>
      <bottom style="thin">
        <color indexed="64"/>
      </bottom>
      <diagonal/>
    </border>
    <border>
      <left style="thin">
        <color theme="1" tint="0.499984740745262"/>
      </left>
      <right style="thin">
        <color theme="0" tint="-0.249977111117893"/>
      </right>
      <top/>
      <bottom/>
      <diagonal/>
    </border>
    <border>
      <left style="thin">
        <color rgb="FFB2B2B2"/>
      </left>
      <right style="thin">
        <color theme="1" tint="0.499984740745262"/>
      </right>
      <top/>
      <bottom/>
      <diagonal/>
    </border>
    <border>
      <left style="thin">
        <color theme="1" tint="0.499984740745262"/>
      </left>
      <right style="thin">
        <color theme="1" tint="0.499984740745262"/>
      </right>
      <top/>
      <bottom/>
      <diagonal/>
    </border>
    <border>
      <left style="thin">
        <color indexed="64"/>
      </left>
      <right style="thin">
        <color indexed="64"/>
      </right>
      <top style="thin">
        <color indexed="64"/>
      </top>
      <bottom style="thin">
        <color indexed="64"/>
      </bottom>
      <diagonal/>
    </border>
    <border>
      <left/>
      <right style="thin">
        <color theme="1" tint="0.499984740745262"/>
      </right>
      <top style="thin">
        <color indexed="64"/>
      </top>
      <bottom style="thin">
        <color indexed="64"/>
      </bottom>
      <diagonal/>
    </border>
    <border>
      <left style="thin">
        <color theme="1" tint="0.499984740745262"/>
      </left>
      <right style="thin">
        <color theme="0" tint="-0.249977111117893"/>
      </right>
      <top style="thin">
        <color indexed="64"/>
      </top>
      <bottom style="thin">
        <color indexed="64"/>
      </bottom>
      <diagonal/>
    </border>
    <border>
      <left style="thin">
        <color theme="1" tint="0.499984740745262"/>
      </left>
      <right style="thin">
        <color theme="1" tint="0.499984740745262"/>
      </right>
      <top style="thin">
        <color indexed="64"/>
      </top>
      <bottom style="thin">
        <color indexed="64"/>
      </bottom>
      <diagonal/>
    </border>
    <border>
      <left style="thin">
        <color theme="1" tint="0.499984740745262"/>
      </left>
      <right style="thin">
        <color theme="0" tint="-0.249977111117893"/>
      </right>
      <top style="thin">
        <color theme="1" tint="0.499984740745262"/>
      </top>
      <bottom style="thin">
        <color theme="1" tint="0.499984740745262"/>
      </bottom>
      <diagonal/>
    </border>
    <border>
      <left style="thin">
        <color theme="0" tint="-0.249977111117893"/>
      </left>
      <right style="thin">
        <color theme="1" tint="0.499984740745262"/>
      </right>
      <top style="thin">
        <color theme="1" tint="0.499984740745262"/>
      </top>
      <bottom style="thin">
        <color theme="1" tint="0.499984740745262"/>
      </bottom>
      <diagonal/>
    </border>
    <border>
      <left/>
      <right style="thin">
        <color indexed="64"/>
      </right>
      <top style="thin">
        <color theme="1" tint="0.499984740745262"/>
      </top>
      <bottom style="thin">
        <color theme="1" tint="0.499984740745262"/>
      </bottom>
      <diagonal/>
    </border>
    <border>
      <left style="thin">
        <color theme="2" tint="-0.499984740745262"/>
      </left>
      <right style="thin">
        <color theme="2" tint="-0.499984740745262"/>
      </right>
      <top/>
      <bottom/>
      <diagonal/>
    </border>
    <border>
      <left style="thin">
        <color indexed="64"/>
      </left>
      <right/>
      <top/>
      <bottom style="thin">
        <color indexed="64"/>
      </bottom>
      <diagonal/>
    </border>
    <border>
      <left/>
      <right/>
      <top/>
      <bottom style="thin">
        <color indexed="64"/>
      </bottom>
      <diagonal/>
    </border>
    <border>
      <left/>
      <right/>
      <top/>
      <bottom style="thin">
        <color theme="2" tint="-0.499984740745262"/>
      </bottom>
      <diagonal/>
    </border>
    <border>
      <left/>
      <right style="thin">
        <color indexed="64"/>
      </right>
      <top style="thin">
        <color indexed="64"/>
      </top>
      <bottom style="thin">
        <color theme="1" tint="0.499984740745262"/>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2" borderId="1" applyNumberFormat="0" applyFont="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cellStyleXfs>
  <cellXfs count="107">
    <xf numFmtId="0" fontId="0" fillId="0" borderId="0" xfId="0"/>
    <xf numFmtId="0" fontId="3" fillId="0" borderId="0" xfId="0" applyFont="1" applyBorder="1"/>
    <xf numFmtId="0" fontId="3" fillId="0" borderId="0" xfId="0" applyFont="1" applyBorder="1" applyAlignment="1">
      <alignment horizontal="left"/>
    </xf>
    <xf numFmtId="164" fontId="3" fillId="0" borderId="0" xfId="0" applyNumberFormat="1" applyFont="1" applyBorder="1" applyAlignment="1">
      <alignment horizontal="left"/>
    </xf>
    <xf numFmtId="165" fontId="3" fillId="0" borderId="0" xfId="0" applyNumberFormat="1" applyFont="1" applyBorder="1"/>
    <xf numFmtId="165" fontId="3" fillId="0" borderId="0" xfId="0" applyNumberFormat="1" applyFont="1" applyBorder="1" applyAlignment="1">
      <alignment horizontal="center" vertical="center"/>
    </xf>
    <xf numFmtId="164" fontId="3" fillId="0" borderId="0" xfId="0" applyNumberFormat="1" applyFont="1" applyBorder="1"/>
    <xf numFmtId="0" fontId="4" fillId="6" borderId="2" xfId="0" applyFont="1" applyFill="1" applyBorder="1" applyAlignment="1"/>
    <xf numFmtId="0" fontId="5" fillId="6" borderId="3" xfId="0" applyFont="1" applyFill="1" applyBorder="1" applyAlignment="1"/>
    <xf numFmtId="0" fontId="6" fillId="7" borderId="3" xfId="0" applyFont="1" applyFill="1" applyBorder="1" applyAlignment="1">
      <alignment horizontal="center"/>
    </xf>
    <xf numFmtId="0" fontId="7" fillId="0" borderId="5" xfId="0" applyFont="1" applyBorder="1" applyAlignment="1">
      <alignment horizontal="left"/>
    </xf>
    <xf numFmtId="165" fontId="8" fillId="0" borderId="0" xfId="0" applyNumberFormat="1" applyFont="1" applyBorder="1" applyAlignment="1">
      <alignment horizontal="left"/>
    </xf>
    <xf numFmtId="0" fontId="8" fillId="0" borderId="0" xfId="0" applyFont="1" applyBorder="1" applyAlignment="1">
      <alignment horizontal="right"/>
    </xf>
    <xf numFmtId="14" fontId="9" fillId="8" borderId="0" xfId="0" applyNumberFormat="1" applyFont="1" applyFill="1" applyBorder="1" applyAlignment="1" applyProtection="1">
      <alignment horizontal="center"/>
      <protection locked="0"/>
    </xf>
    <xf numFmtId="0" fontId="9" fillId="12" borderId="14" xfId="5" applyFont="1" applyFill="1" applyBorder="1" applyAlignment="1">
      <alignment horizontal="center" vertical="center" wrapText="1"/>
    </xf>
    <xf numFmtId="0" fontId="9" fillId="12" borderId="15" xfId="5" applyFont="1" applyFill="1" applyBorder="1" applyAlignment="1">
      <alignment horizontal="center" vertical="center" wrapText="1"/>
    </xf>
    <xf numFmtId="165" fontId="8" fillId="0" borderId="2" xfId="0" applyNumberFormat="1" applyFont="1" applyFill="1" applyBorder="1" applyAlignment="1">
      <alignment vertical="center"/>
    </xf>
    <xf numFmtId="165" fontId="3" fillId="0" borderId="3" xfId="0" applyNumberFormat="1" applyFont="1" applyFill="1" applyBorder="1" applyAlignment="1">
      <alignment vertical="center" wrapText="1"/>
    </xf>
    <xf numFmtId="0" fontId="13" fillId="15" borderId="2" xfId="0" applyFont="1" applyFill="1" applyBorder="1" applyAlignment="1">
      <alignment horizontal="left" vertical="center"/>
    </xf>
    <xf numFmtId="0" fontId="8" fillId="15" borderId="3" xfId="0" applyFont="1" applyFill="1" applyBorder="1" applyAlignment="1">
      <alignment vertical="center" wrapText="1"/>
    </xf>
    <xf numFmtId="165" fontId="3" fillId="15" borderId="3" xfId="0" applyNumberFormat="1" applyFont="1" applyFill="1" applyBorder="1" applyAlignment="1">
      <alignment vertical="center" wrapText="1"/>
    </xf>
    <xf numFmtId="0" fontId="3" fillId="15" borderId="3" xfId="0" applyFont="1" applyFill="1" applyBorder="1" applyAlignment="1">
      <alignment vertical="center" wrapText="1"/>
    </xf>
    <xf numFmtId="0" fontId="9" fillId="9" borderId="26" xfId="5" applyFont="1" applyFill="1" applyBorder="1" applyAlignment="1">
      <alignment horizontal="center" vertical="center" wrapText="1"/>
    </xf>
    <xf numFmtId="0" fontId="9" fillId="12" borderId="12" xfId="5" applyFont="1" applyFill="1" applyBorder="1" applyAlignment="1">
      <alignment horizontal="center" vertical="center" wrapText="1"/>
    </xf>
    <xf numFmtId="0" fontId="11" fillId="18" borderId="16" xfId="5" applyFont="1" applyFill="1" applyBorder="1" applyAlignment="1">
      <alignment horizontal="center" vertical="center" wrapText="1"/>
    </xf>
    <xf numFmtId="0" fontId="11" fillId="7" borderId="9" xfId="5" applyFont="1" applyFill="1" applyBorder="1" applyAlignment="1">
      <alignment horizontal="center" vertical="center" wrapText="1"/>
    </xf>
    <xf numFmtId="0" fontId="11" fillId="7" borderId="27" xfId="5" applyFont="1" applyFill="1" applyBorder="1" applyAlignment="1">
      <alignment horizontal="center" vertical="center" wrapText="1"/>
    </xf>
    <xf numFmtId="0" fontId="3" fillId="0" borderId="29" xfId="0" applyFont="1" applyBorder="1" applyAlignment="1">
      <alignment horizontal="left"/>
    </xf>
    <xf numFmtId="0" fontId="3" fillId="0" borderId="30" xfId="0" applyFont="1" applyBorder="1" applyAlignment="1">
      <alignment horizontal="left"/>
    </xf>
    <xf numFmtId="0" fontId="3" fillId="0" borderId="30" xfId="0" applyFont="1" applyBorder="1"/>
    <xf numFmtId="2" fontId="3" fillId="0" borderId="30" xfId="0" applyNumberFormat="1" applyFont="1" applyBorder="1"/>
    <xf numFmtId="0" fontId="3" fillId="0" borderId="17" xfId="0" applyFont="1" applyBorder="1"/>
    <xf numFmtId="0" fontId="12" fillId="20" borderId="31" xfId="0" applyFont="1" applyFill="1" applyBorder="1" applyAlignment="1">
      <alignment horizontal="left"/>
    </xf>
    <xf numFmtId="165" fontId="12" fillId="20" borderId="31" xfId="0" applyNumberFormat="1" applyFont="1" applyFill="1" applyBorder="1"/>
    <xf numFmtId="0" fontId="12" fillId="20" borderId="31" xfId="0" applyFont="1" applyFill="1" applyBorder="1"/>
    <xf numFmtId="0" fontId="12" fillId="13" borderId="0" xfId="0" applyFont="1" applyFill="1" applyBorder="1" applyAlignment="1">
      <alignment horizontal="left"/>
    </xf>
    <xf numFmtId="165" fontId="12" fillId="13" borderId="0" xfId="0" applyNumberFormat="1" applyFont="1" applyFill="1" applyBorder="1"/>
    <xf numFmtId="165" fontId="11" fillId="13" borderId="0" xfId="2" applyNumberFormat="1" applyFont="1" applyFill="1" applyBorder="1"/>
    <xf numFmtId="10" fontId="12" fillId="13" borderId="0" xfId="2" applyNumberFormat="1" applyFont="1" applyFill="1" applyBorder="1"/>
    <xf numFmtId="2" fontId="11" fillId="13" borderId="0" xfId="2" applyNumberFormat="1" applyFont="1" applyFill="1" applyBorder="1"/>
    <xf numFmtId="165" fontId="12" fillId="13" borderId="0" xfId="2" applyNumberFormat="1" applyFont="1" applyFill="1" applyBorder="1"/>
    <xf numFmtId="2" fontId="14" fillId="13" borderId="0" xfId="0" applyNumberFormat="1" applyFont="1" applyFill="1" applyBorder="1"/>
    <xf numFmtId="165" fontId="14" fillId="13" borderId="0" xfId="0" applyNumberFormat="1" applyFont="1" applyFill="1" applyBorder="1"/>
    <xf numFmtId="0" fontId="12" fillId="13" borderId="0" xfId="0" applyFont="1" applyFill="1" applyBorder="1"/>
    <xf numFmtId="0" fontId="3" fillId="0" borderId="2" xfId="0" applyFont="1" applyBorder="1"/>
    <xf numFmtId="0" fontId="3" fillId="0" borderId="3" xfId="0" applyFont="1" applyBorder="1"/>
    <xf numFmtId="0" fontId="3" fillId="0" borderId="4" xfId="0" applyFont="1" applyBorder="1"/>
    <xf numFmtId="165" fontId="3" fillId="0" borderId="7" xfId="0" applyNumberFormat="1" applyFont="1" applyFill="1" applyBorder="1" applyAlignment="1">
      <alignment vertical="center" wrapText="1"/>
    </xf>
    <xf numFmtId="165" fontId="3" fillId="0" borderId="17" xfId="0" applyNumberFormat="1" applyFont="1" applyFill="1" applyBorder="1" applyAlignment="1">
      <alignment vertical="center" wrapText="1"/>
    </xf>
    <xf numFmtId="0" fontId="3" fillId="15" borderId="32" xfId="0" applyFont="1" applyFill="1" applyBorder="1" applyAlignment="1">
      <alignment vertical="center" wrapText="1"/>
    </xf>
    <xf numFmtId="0" fontId="15" fillId="5" borderId="25" xfId="6" applyFont="1" applyBorder="1" applyAlignment="1">
      <alignment horizontal="center" vertical="center"/>
    </xf>
    <xf numFmtId="167" fontId="3" fillId="2" borderId="18" xfId="3" applyNumberFormat="1" applyFont="1" applyBorder="1" applyAlignment="1">
      <alignment horizontal="center" vertical="center"/>
    </xf>
    <xf numFmtId="0" fontId="3" fillId="17" borderId="21" xfId="0" applyFont="1" applyFill="1" applyBorder="1" applyAlignment="1">
      <alignment horizontal="center"/>
    </xf>
    <xf numFmtId="0" fontId="10" fillId="11" borderId="10" xfId="0" applyFont="1" applyFill="1" applyBorder="1" applyAlignment="1">
      <alignment horizontal="center" vertical="center"/>
    </xf>
    <xf numFmtId="0" fontId="9" fillId="10" borderId="8" xfId="5" applyFont="1" applyFill="1" applyBorder="1" applyAlignment="1">
      <alignment horizontal="center" vertical="center"/>
    </xf>
    <xf numFmtId="0" fontId="3" fillId="14" borderId="5" xfId="0" applyFont="1" applyFill="1" applyBorder="1" applyAlignment="1">
      <alignment horizontal="center" vertical="center"/>
    </xf>
    <xf numFmtId="167" fontId="3" fillId="16" borderId="19" xfId="3" applyNumberFormat="1" applyFont="1" applyFill="1" applyBorder="1" applyAlignment="1">
      <alignment horizontal="center" vertical="center"/>
    </xf>
    <xf numFmtId="166" fontId="12" fillId="0" borderId="0" xfId="1" applyNumberFormat="1" applyFont="1" applyFill="1" applyBorder="1" applyAlignment="1">
      <alignment horizontal="center"/>
    </xf>
    <xf numFmtId="166" fontId="12" fillId="0" borderId="20" xfId="1" applyNumberFormat="1" applyFont="1" applyFill="1" applyBorder="1" applyAlignment="1">
      <alignment horizontal="center" vertical="center"/>
    </xf>
    <xf numFmtId="43" fontId="12" fillId="0" borderId="20" xfId="1" applyFont="1" applyFill="1" applyBorder="1" applyAlignment="1">
      <alignment horizontal="center" vertical="center"/>
    </xf>
    <xf numFmtId="2" fontId="3" fillId="0" borderId="28" xfId="0" applyNumberFormat="1" applyFont="1" applyBorder="1" applyAlignment="1">
      <alignment horizontal="center"/>
    </xf>
    <xf numFmtId="165" fontId="12" fillId="0" borderId="11" xfId="1" applyNumberFormat="1" applyFont="1" applyFill="1" applyBorder="1" applyAlignment="1">
      <alignment horizontal="center" vertical="center"/>
    </xf>
    <xf numFmtId="165" fontId="12" fillId="0" borderId="13" xfId="1" applyNumberFormat="1" applyFont="1" applyFill="1" applyBorder="1" applyAlignment="1">
      <alignment horizontal="center" vertical="center"/>
    </xf>
    <xf numFmtId="166" fontId="12" fillId="0" borderId="13" xfId="1" applyNumberFormat="1" applyFont="1" applyFill="1" applyBorder="1" applyAlignment="1">
      <alignment horizontal="center" vertical="center"/>
    </xf>
    <xf numFmtId="0" fontId="10" fillId="10" borderId="6" xfId="4" applyFont="1" applyFill="1" applyBorder="1" applyAlignment="1">
      <alignment horizontal="center" vertical="center"/>
    </xf>
    <xf numFmtId="0" fontId="10" fillId="10" borderId="22" xfId="4" applyFont="1" applyFill="1" applyBorder="1" applyAlignment="1">
      <alignment horizontal="center" vertical="center"/>
    </xf>
    <xf numFmtId="167" fontId="10" fillId="10" borderId="23" xfId="4" applyNumberFormat="1" applyFont="1" applyFill="1" applyBorder="1" applyAlignment="1">
      <alignment horizontal="center" vertical="center"/>
    </xf>
    <xf numFmtId="167" fontId="10" fillId="10" borderId="22" xfId="4" applyNumberFormat="1" applyFont="1" applyFill="1" applyBorder="1" applyAlignment="1">
      <alignment horizontal="center" vertical="center"/>
    </xf>
    <xf numFmtId="166" fontId="10" fillId="10" borderId="7" xfId="1" applyNumberFormat="1" applyFont="1" applyFill="1" applyBorder="1" applyAlignment="1">
      <alignment horizontal="center" vertical="center"/>
    </xf>
    <xf numFmtId="166" fontId="10" fillId="10" borderId="24" xfId="1" applyNumberFormat="1" applyFont="1" applyFill="1" applyBorder="1" applyAlignment="1">
      <alignment horizontal="center" vertical="center"/>
    </xf>
    <xf numFmtId="43" fontId="10" fillId="10" borderId="24" xfId="1" applyFont="1" applyFill="1" applyBorder="1" applyAlignment="1">
      <alignment horizontal="center" vertical="center"/>
    </xf>
    <xf numFmtId="2" fontId="8" fillId="19" borderId="24" xfId="0" applyNumberFormat="1" applyFont="1" applyFill="1" applyBorder="1" applyAlignment="1">
      <alignment horizontal="center"/>
    </xf>
    <xf numFmtId="165" fontId="10" fillId="10" borderId="22" xfId="1" applyNumberFormat="1" applyFont="1" applyFill="1" applyBorder="1" applyAlignment="1">
      <alignment horizontal="center" vertical="center"/>
    </xf>
    <xf numFmtId="165" fontId="10" fillId="10" borderId="17" xfId="1" applyNumberFormat="1" applyFont="1" applyFill="1" applyBorder="1" applyAlignment="1">
      <alignment horizontal="center" vertical="center"/>
    </xf>
    <xf numFmtId="166" fontId="10" fillId="10" borderId="17" xfId="1" applyNumberFormat="1" applyFont="1" applyFill="1" applyBorder="1" applyAlignment="1">
      <alignment horizontal="center" vertical="center"/>
    </xf>
    <xf numFmtId="0" fontId="14" fillId="21" borderId="27" xfId="5" applyFont="1" applyFill="1" applyBorder="1" applyAlignment="1">
      <alignment horizontal="center" vertical="center" wrapText="1"/>
    </xf>
    <xf numFmtId="0" fontId="0" fillId="0" borderId="5" xfId="0" applyBorder="1"/>
    <xf numFmtId="0" fontId="0" fillId="0" borderId="0" xfId="0" applyBorder="1"/>
    <xf numFmtId="0" fontId="0" fillId="0" borderId="13" xfId="0" applyBorder="1"/>
    <xf numFmtId="168" fontId="0" fillId="0" borderId="5" xfId="0" applyNumberFormat="1" applyBorder="1"/>
    <xf numFmtId="2" fontId="0" fillId="0" borderId="0" xfId="0" applyNumberFormat="1" applyBorder="1"/>
    <xf numFmtId="0" fontId="0" fillId="0" borderId="29" xfId="0" applyBorder="1"/>
    <xf numFmtId="0" fontId="0" fillId="0" borderId="30" xfId="0" applyBorder="1"/>
    <xf numFmtId="0" fontId="0" fillId="0" borderId="33" xfId="0" applyBorder="1"/>
    <xf numFmtId="0" fontId="0" fillId="0" borderId="34" xfId="0" applyNumberFormat="1" applyBorder="1"/>
    <xf numFmtId="0" fontId="0" fillId="0" borderId="35" xfId="0" applyNumberFormat="1" applyBorder="1"/>
    <xf numFmtId="0" fontId="0" fillId="0" borderId="36" xfId="0" applyNumberFormat="1" applyBorder="1"/>
    <xf numFmtId="0" fontId="0" fillId="0" borderId="21" xfId="0" pivotButton="1" applyBorder="1"/>
    <xf numFmtId="0" fontId="0" fillId="0" borderId="21" xfId="0" applyBorder="1"/>
    <xf numFmtId="0" fontId="0" fillId="0" borderId="34" xfId="0" applyBorder="1" applyAlignment="1">
      <alignment horizontal="left"/>
    </xf>
    <xf numFmtId="0" fontId="0" fillId="0" borderId="35" xfId="0" applyBorder="1" applyAlignment="1">
      <alignment horizontal="left"/>
    </xf>
    <xf numFmtId="0" fontId="0" fillId="0" borderId="36" xfId="0" applyBorder="1" applyAlignment="1">
      <alignment horizontal="left"/>
    </xf>
    <xf numFmtId="0" fontId="0" fillId="0" borderId="21" xfId="0" applyBorder="1" applyAlignment="1">
      <alignment horizontal="left"/>
    </xf>
    <xf numFmtId="2" fontId="0" fillId="0" borderId="34" xfId="0" applyNumberFormat="1" applyBorder="1"/>
    <xf numFmtId="2" fontId="0" fillId="0" borderId="35" xfId="0" applyNumberFormat="1" applyBorder="1"/>
    <xf numFmtId="0" fontId="0" fillId="0" borderId="6" xfId="0" applyNumberFormat="1" applyBorder="1"/>
    <xf numFmtId="0" fontId="0" fillId="0" borderId="7" xfId="0" applyNumberFormat="1" applyBorder="1"/>
    <xf numFmtId="0" fontId="0" fillId="0" borderId="17" xfId="0" applyNumberFormat="1" applyBorder="1"/>
    <xf numFmtId="0" fontId="0" fillId="0" borderId="6" xfId="0" applyBorder="1"/>
    <xf numFmtId="0" fontId="0" fillId="0" borderId="7" xfId="0" applyBorder="1"/>
    <xf numFmtId="0" fontId="0" fillId="0" borderId="17" xfId="0" applyBorder="1"/>
    <xf numFmtId="0" fontId="16" fillId="21" borderId="2" xfId="0" applyFont="1" applyFill="1" applyBorder="1" applyAlignment="1">
      <alignment horizontal="center"/>
    </xf>
    <xf numFmtId="0" fontId="16" fillId="21" borderId="3" xfId="0" applyFont="1" applyFill="1" applyBorder="1" applyAlignment="1">
      <alignment horizontal="center"/>
    </xf>
    <xf numFmtId="0" fontId="16" fillId="21" borderId="4" xfId="0" applyFont="1" applyFill="1" applyBorder="1" applyAlignment="1">
      <alignment horizontal="center"/>
    </xf>
    <xf numFmtId="0" fontId="17" fillId="21" borderId="2" xfId="0" applyFont="1" applyFill="1" applyBorder="1" applyAlignment="1">
      <alignment horizontal="center"/>
    </xf>
    <xf numFmtId="0" fontId="17" fillId="21" borderId="3" xfId="0" applyFont="1" applyFill="1" applyBorder="1" applyAlignment="1">
      <alignment horizontal="center"/>
    </xf>
    <xf numFmtId="0" fontId="17" fillId="21" borderId="4" xfId="0" applyFont="1" applyFill="1" applyBorder="1" applyAlignment="1">
      <alignment horizontal="center"/>
    </xf>
  </cellXfs>
  <cellStyles count="7">
    <cellStyle name="Accent1" xfId="4" builtinId="29"/>
    <cellStyle name="Accent2" xfId="5" builtinId="33"/>
    <cellStyle name="Accent4" xfId="6" builtinId="41"/>
    <cellStyle name="Comma" xfId="1" builtinId="3"/>
    <cellStyle name="Normal" xfId="0" builtinId="0"/>
    <cellStyle name="Note" xfId="3" builtinId="10"/>
    <cellStyle name="Percent" xfId="2" builtinId="5"/>
  </cellStyles>
  <dxfs count="150">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font>
        <sz val="8"/>
      </font>
      <fill>
        <patternFill>
          <bgColor rgb="FFE6C1FF"/>
        </patternFill>
      </fill>
      <border diagonalUp="0" diagonalDown="0">
        <left/>
        <right/>
        <top/>
        <bottom/>
        <vertical/>
        <horizontal/>
      </border>
    </dxf>
    <dxf>
      <font>
        <b val="0"/>
        <i/>
        <sz val="12"/>
        <color theme="1"/>
        <name val="Calibri"/>
        <scheme val="minor"/>
      </font>
      <fill>
        <patternFill>
          <bgColor rgb="FFB482DA"/>
        </patternFill>
      </fill>
    </dxf>
  </dxfs>
  <tableStyles count="2" defaultTableStyle="TableStyleMedium2" defaultPivotStyle="PivotStyleLight16">
    <tableStyle name="Slicer Style 1" pivot="0" table="0" count="1">
      <tableStyleElement type="wholeTable" dxfId="149"/>
    </tableStyle>
    <tableStyle name="Slicer Style 2" pivot="0" table="0" count="3">
      <tableStyleElement type="wholeTable" dxfId="148"/>
    </tableStyle>
  </tableStyles>
  <colors>
    <mruColors>
      <color rgb="FFE6C1FF"/>
      <color rgb="FFDBA7FF"/>
      <color rgb="FFB482DA"/>
      <color rgb="FFDEBEF0"/>
      <color rgb="FF94F862"/>
      <color rgb="FF5044A6"/>
      <color rgb="FFFF99CC"/>
      <color rgb="FFD6AEEC"/>
      <color rgb="FF9FFF9F"/>
      <color rgb="FFFFFF66"/>
    </mruColors>
  </colors>
  <extLst>
    <ext xmlns:x14="http://schemas.microsoft.com/office/spreadsheetml/2009/9/main" uri="{46F421CA-312F-682f-3DD2-61675219B42D}">
      <x14:dxfs count="2">
        <dxf>
          <fill>
            <patternFill>
              <bgColor theme="0"/>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[SHIFT INCHARGE PERFORMANCE-MAY-26.xlsx]Pivot!PivotTable1</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Pivot!$A$4:$A$7</c:f>
              <c:strCache>
                <c:ptCount val="3"/>
                <c:pt idx="0">
                  <c:v>AMAN</c:v>
                </c:pt>
                <c:pt idx="1">
                  <c:v>RISHI</c:v>
                </c:pt>
                <c:pt idx="2">
                  <c:v>RAHUL</c:v>
                </c:pt>
              </c:strCache>
            </c:strRef>
          </c:cat>
          <c:val>
            <c:numRef>
              <c:f>Pivot!$B$4:$B$7</c:f>
              <c:numCache>
                <c:formatCode>General</c:formatCode>
                <c:ptCount val="3"/>
                <c:pt idx="0">
                  <c:v>143712</c:v>
                </c:pt>
                <c:pt idx="1">
                  <c:v>149023</c:v>
                </c:pt>
                <c:pt idx="2">
                  <c:v>155117</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[SHIFT INCHARGE PERFORMANCE-MAY-26.xlsx]Pivot!PivotTable3</c:name>
    <c:fmtId val="5"/>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Pivot!$B$20</c:f>
              <c:strCache>
                <c:ptCount val="1"/>
                <c:pt idx="0">
                  <c:v>Total</c:v>
                </c:pt>
              </c:strCache>
            </c:strRef>
          </c:tx>
          <c:spPr>
            <a:solidFill>
              <a:schemeClr val="accent1"/>
            </a:solidFill>
            <a:ln>
              <a:noFill/>
            </a:ln>
            <a:effectLst/>
          </c:spPr>
          <c:invertIfNegative val="0"/>
          <c:cat>
            <c:strRef>
              <c:f>Pivot!$A$21:$A$24</c:f>
              <c:strCache>
                <c:ptCount val="3"/>
                <c:pt idx="0">
                  <c:v>AMAN</c:v>
                </c:pt>
                <c:pt idx="1">
                  <c:v>RISHI</c:v>
                </c:pt>
                <c:pt idx="2">
                  <c:v>RAHUL</c:v>
                </c:pt>
              </c:strCache>
            </c:strRef>
          </c:cat>
          <c:val>
            <c:numRef>
              <c:f>Pivot!$B$21:$B$24</c:f>
              <c:numCache>
                <c:formatCode>General</c:formatCode>
                <c:ptCount val="3"/>
                <c:pt idx="0">
                  <c:v>9156</c:v>
                </c:pt>
                <c:pt idx="1">
                  <c:v>9490</c:v>
                </c:pt>
                <c:pt idx="2">
                  <c:v>9878</c:v>
                </c:pt>
              </c:numCache>
            </c:numRef>
          </c:val>
        </c:ser>
        <c:dLbls>
          <c:showLegendKey val="0"/>
          <c:showVal val="0"/>
          <c:showCatName val="0"/>
          <c:showSerName val="0"/>
          <c:showPercent val="0"/>
          <c:showBubbleSize val="0"/>
        </c:dLbls>
        <c:gapWidth val="219"/>
        <c:axId val="165806488"/>
        <c:axId val="354903128"/>
      </c:barChart>
      <c:catAx>
        <c:axId val="165806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903128"/>
        <c:crosses val="autoZero"/>
        <c:auto val="1"/>
        <c:lblAlgn val="ctr"/>
        <c:lblOffset val="100"/>
        <c:noMultiLvlLbl val="0"/>
      </c:catAx>
      <c:valAx>
        <c:axId val="354903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064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[SHIFT INCHARGE PERFORMANCE-MAY-26.xlsx]Pivot!PivotTable5</c:name>
    <c:fmtId val="16"/>
  </c:pivotSource>
  <c:chart>
    <c:autoTitleDeleted val="1"/>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Pivot!$B$28</c:f>
              <c:strCache>
                <c:ptCount val="1"/>
                <c:pt idx="0">
                  <c:v>Total</c:v>
                </c:pt>
              </c:strCache>
            </c:strRef>
          </c:tx>
          <c:spPr>
            <a:solidFill>
              <a:schemeClr val="accent1"/>
            </a:solidFill>
            <a:ln>
              <a:noFill/>
            </a:ln>
            <a:effectLst/>
          </c:spPr>
          <c:invertIfNegative val="0"/>
          <c:cat>
            <c:strRef>
              <c:f>Pivot!$A$29:$A$32</c:f>
              <c:strCache>
                <c:ptCount val="3"/>
                <c:pt idx="0">
                  <c:v>AMAN</c:v>
                </c:pt>
                <c:pt idx="1">
                  <c:v>RISHI</c:v>
                </c:pt>
                <c:pt idx="2">
                  <c:v>RAHUL</c:v>
                </c:pt>
              </c:strCache>
            </c:strRef>
          </c:cat>
          <c:val>
            <c:numRef>
              <c:f>Pivot!$B$29:$B$32</c:f>
              <c:numCache>
                <c:formatCode>General</c:formatCode>
                <c:ptCount val="3"/>
                <c:pt idx="0">
                  <c:v>21</c:v>
                </c:pt>
                <c:pt idx="1">
                  <c:v>37</c:v>
                </c:pt>
                <c:pt idx="2">
                  <c:v>30</c:v>
                </c:pt>
              </c:numCache>
            </c:numRef>
          </c:val>
        </c:ser>
        <c:dLbls>
          <c:showLegendKey val="0"/>
          <c:showVal val="0"/>
          <c:showCatName val="0"/>
          <c:showSerName val="0"/>
          <c:showPercent val="0"/>
          <c:showBubbleSize val="0"/>
        </c:dLbls>
        <c:gapWidth val="219"/>
        <c:overlap val="-27"/>
        <c:axId val="361238272"/>
        <c:axId val="361229160"/>
      </c:barChart>
      <c:catAx>
        <c:axId val="36123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229160"/>
        <c:crosses val="autoZero"/>
        <c:auto val="1"/>
        <c:lblAlgn val="ctr"/>
        <c:lblOffset val="100"/>
        <c:noMultiLvlLbl val="0"/>
      </c:catAx>
      <c:valAx>
        <c:axId val="361229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2382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[SHIFT INCHARGE PERFORMANCE-MAY-26.xlsx]Pivot!PivotTable4</c:name>
    <c:fmtId val="2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Pivot!$B$37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Pivot!$A$38:$A$41</c:f>
              <c:strCache>
                <c:ptCount val="3"/>
                <c:pt idx="0">
                  <c:v>AMAN</c:v>
                </c:pt>
                <c:pt idx="1">
                  <c:v>RISHI</c:v>
                </c:pt>
                <c:pt idx="2">
                  <c:v>RAHUL</c:v>
                </c:pt>
              </c:strCache>
            </c:strRef>
          </c:cat>
          <c:val>
            <c:numRef>
              <c:f>Pivot!$B$38:$B$41</c:f>
              <c:numCache>
                <c:formatCode>0.00</c:formatCode>
                <c:ptCount val="3"/>
                <c:pt idx="0">
                  <c:v>11.641449459631277</c:v>
                </c:pt>
                <c:pt idx="1">
                  <c:v>11.863982997874732</c:v>
                </c:pt>
                <c:pt idx="2">
                  <c:v>12.562635126542034</c:v>
                </c:pt>
              </c:numCache>
            </c:numRef>
          </c:val>
          <c:smooth val="0"/>
        </c:ser>
        <c:dLbls>
          <c:showLegendKey val="0"/>
          <c:showVal val="0"/>
          <c:showCatName val="0"/>
          <c:showSerName val="0"/>
          <c:showPercent val="0"/>
          <c:showBubbleSize val="0"/>
        </c:dLbls>
        <c:marker val="1"/>
        <c:smooth val="0"/>
        <c:axId val="354902736"/>
        <c:axId val="361232224"/>
      </c:lineChart>
      <c:catAx>
        <c:axId val="35490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232224"/>
        <c:crosses val="autoZero"/>
        <c:auto val="1"/>
        <c:lblAlgn val="ctr"/>
        <c:lblOffset val="100"/>
        <c:noMultiLvlLbl val="0"/>
      </c:catAx>
      <c:valAx>
        <c:axId val="36123222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902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[SHIFT INCHARGE PERFORMANCE-MAY-26.xlsx]Pivot!PivotTable6</c:name>
    <c:fmtId val="3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Pivot!$B$47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Pivot!$A$48:$A$51</c:f>
              <c:strCache>
                <c:ptCount val="3"/>
                <c:pt idx="0">
                  <c:v>AMAN</c:v>
                </c:pt>
                <c:pt idx="1">
                  <c:v>RISHI</c:v>
                </c:pt>
                <c:pt idx="2">
                  <c:v>RAHUL</c:v>
                </c:pt>
              </c:strCache>
            </c:strRef>
          </c:cat>
          <c:val>
            <c:numRef>
              <c:f>Pivot!$B$48:$B$51</c:f>
              <c:numCache>
                <c:formatCode>0.00</c:formatCode>
                <c:ptCount val="3"/>
                <c:pt idx="0">
                  <c:v>182.72345835982196</c:v>
                </c:pt>
                <c:pt idx="1">
                  <c:v>186.30203775471932</c:v>
                </c:pt>
                <c:pt idx="2">
                  <c:v>197.27457713340968</c:v>
                </c:pt>
              </c:numCache>
            </c:numRef>
          </c:val>
          <c:smooth val="0"/>
        </c:ser>
        <c:dLbls>
          <c:showLegendKey val="0"/>
          <c:showVal val="0"/>
          <c:showCatName val="0"/>
          <c:showSerName val="0"/>
          <c:showPercent val="0"/>
          <c:showBubbleSize val="0"/>
        </c:dLbls>
        <c:marker val="1"/>
        <c:smooth val="0"/>
        <c:axId val="361151288"/>
        <c:axId val="360756944"/>
      </c:lineChart>
      <c:catAx>
        <c:axId val="361151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756944"/>
        <c:crosses val="autoZero"/>
        <c:auto val="1"/>
        <c:lblAlgn val="ctr"/>
        <c:lblOffset val="100"/>
        <c:noMultiLvlLbl val="0"/>
      </c:catAx>
      <c:valAx>
        <c:axId val="3607569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151288"/>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[SHIFT INCHARGE PERFORMANCE-MAY-26.xlsx]Pivot!PivotTable1</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99CC"/>
          </a:solidFill>
          <a:ln w="19050">
            <a:solidFill>
              <a:schemeClr val="lt1"/>
            </a:solidFill>
          </a:ln>
          <a:effectLst/>
        </c:spPr>
        <c:dLbl>
          <c:idx val="0"/>
          <c:layout>
            <c:manualLayout>
              <c:x val="0.167388394632489"/>
              <c:y val="2.619297924371298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897546897546892"/>
                  <c:h val="0.35860817851014837"/>
                </c:manualLayout>
              </c15:layout>
            </c:ext>
          </c:extLst>
        </c:dLbl>
      </c:pivotFmt>
      <c:pivotFmt>
        <c:idx val="10"/>
        <c:spPr>
          <a:solidFill>
            <a:srgbClr val="00B050"/>
          </a:solidFill>
          <a:ln w="19050">
            <a:solidFill>
              <a:schemeClr val="lt1"/>
            </a:solidFill>
          </a:ln>
          <a:effectLst/>
        </c:spPr>
        <c:dLbl>
          <c:idx val="0"/>
          <c:layout>
            <c:manualLayout>
              <c:x val="0"/>
              <c:y val="0.1705947769577571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68334776334776337"/>
                  <c:h val="0.24188543638115667"/>
                </c:manualLayout>
              </c15:layout>
            </c:ext>
          </c:extLst>
        </c:dLbl>
      </c:pivotFmt>
      <c:pivotFmt>
        <c:idx val="11"/>
        <c:spPr>
          <a:solidFill>
            <a:schemeClr val="accent2">
              <a:lumMod val="60000"/>
              <a:lumOff val="40000"/>
            </a:schemeClr>
          </a:solidFill>
          <a:ln w="19050">
            <a:solidFill>
              <a:schemeClr val="lt1"/>
            </a:solidFill>
          </a:ln>
          <a:effectLst/>
        </c:spPr>
        <c:dLbl>
          <c:idx val="0"/>
          <c:layout>
            <c:manualLayout>
              <c:x val="-0.16161616161616163"/>
              <c:y val="-1.0136002143569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847041847041847"/>
              <c:y val="-2.693601741438270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3"/>
        <c:spPr>
          <a:solidFill>
            <a:schemeClr val="accent1"/>
          </a:solidFill>
          <a:ln w="19050">
            <a:solidFill>
              <a:schemeClr val="lt1"/>
            </a:solidFill>
          </a:ln>
          <a:effectLst/>
        </c:spPr>
        <c:dLbl>
          <c:idx val="0"/>
          <c:layout>
            <c:manualLayout>
              <c:x val="-0.1847041847041847"/>
              <c:y val="-6.2850707300226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4"/>
        <c:spPr>
          <a:solidFill>
            <a:schemeClr val="accent1"/>
          </a:solidFill>
          <a:ln w="19050">
            <a:solidFill>
              <a:schemeClr val="lt1"/>
            </a:solidFill>
          </a:ln>
          <a:effectLst/>
        </c:spPr>
        <c:dLbl>
          <c:idx val="0"/>
          <c:layout>
            <c:manualLayout>
              <c:x val="0.1847041847041847"/>
              <c:y val="0.14365875954337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manualLayout>
          <c:layoutTarget val="inner"/>
          <c:xMode val="edge"/>
          <c:yMode val="edge"/>
          <c:x val="0.29378554953358105"/>
          <c:y val="5.3520664732835004E-2"/>
          <c:w val="0.43551692402086101"/>
          <c:h val="0.67747053121926837"/>
        </c:manualLayout>
      </c:layout>
      <c:doughnutChart>
        <c:varyColors val="1"/>
        <c:ser>
          <c:idx val="0"/>
          <c:order val="0"/>
          <c:tx>
            <c:strRef>
              <c:f>Pivot!$B$3</c:f>
              <c:strCache>
                <c:ptCount val="1"/>
                <c:pt idx="0">
                  <c:v>Total</c:v>
                </c:pt>
              </c:strCache>
            </c:strRef>
          </c:tx>
          <c:explosion val="1"/>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dLbl>
              <c:idx val="0"/>
              <c:layout>
                <c:manualLayout>
                  <c:x val="0.1847041847041847"/>
                  <c:y val="-2.6936017414382701E-2"/>
                </c:manualLayout>
              </c:layout>
              <c:showLegendKey val="0"/>
              <c:showVal val="0"/>
              <c:showCatName val="1"/>
              <c:showSerName val="0"/>
              <c:showPercent val="1"/>
              <c:showBubbleSize val="0"/>
              <c:extLst>
                <c:ext xmlns:c15="http://schemas.microsoft.com/office/drawing/2012/chart" uri="{CE6537A1-D6FC-4f65-9D91-7224C49458BB}">
                  <c15:layout/>
                </c:ext>
              </c:extLst>
            </c:dLbl>
            <c:dLbl>
              <c:idx val="1"/>
              <c:layout>
                <c:manualLayout>
                  <c:x val="0.1847041847041847"/>
                  <c:y val="0.1436587595433744"/>
                </c:manualLayout>
              </c:layout>
              <c:showLegendKey val="0"/>
              <c:showVal val="0"/>
              <c:showCatName val="1"/>
              <c:showSerName val="0"/>
              <c:showPercent val="1"/>
              <c:showBubbleSize val="0"/>
              <c:extLst>
                <c:ext xmlns:c15="http://schemas.microsoft.com/office/drawing/2012/chart" uri="{CE6537A1-D6FC-4f65-9D91-7224C49458BB}">
                  <c15:layout/>
                </c:ext>
              </c:extLst>
            </c:dLbl>
            <c:dLbl>
              <c:idx val="2"/>
              <c:layout>
                <c:manualLayout>
                  <c:x val="-0.1847041847041847"/>
                  <c:y val="-6.2850707300226322E-2"/>
                </c:manualLayout>
              </c:layout>
              <c:showLegendKey val="0"/>
              <c:showVal val="0"/>
              <c:showCatName val="1"/>
              <c:showSerName val="0"/>
              <c:showPercent val="1"/>
              <c:showBubbleSize val="0"/>
              <c:extLst>
                <c:ext xmlns:c15="http://schemas.microsoft.com/office/drawing/2012/chart" uri="{CE6537A1-D6FC-4f65-9D91-7224C49458BB}">
                  <c15:layout/>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Pivot!$A$4:$A$7</c:f>
              <c:strCache>
                <c:ptCount val="3"/>
                <c:pt idx="0">
                  <c:v>AMAN</c:v>
                </c:pt>
                <c:pt idx="1">
                  <c:v>RISHI</c:v>
                </c:pt>
                <c:pt idx="2">
                  <c:v>RAHUL</c:v>
                </c:pt>
              </c:strCache>
            </c:strRef>
          </c:cat>
          <c:val>
            <c:numRef>
              <c:f>Pivot!$B$4:$B$7</c:f>
              <c:numCache>
                <c:formatCode>General</c:formatCode>
                <c:ptCount val="3"/>
                <c:pt idx="0">
                  <c:v>143712</c:v>
                </c:pt>
                <c:pt idx="1">
                  <c:v>149023</c:v>
                </c:pt>
                <c:pt idx="2">
                  <c:v>155117</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[SHIFT INCHARGE PERFORMANCE-MAY-26.xlsx]Pivot!PivotTable3</c:name>
    <c:fmtId val="1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Segoe UI Black" panose="020B0A02040204020203" pitchFamily="34" charset="0"/>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rgbClr val="FF99CC"/>
          </a:solidFill>
          <a:ln>
            <a:noFill/>
          </a:ln>
          <a:effectLst/>
        </c:spPr>
      </c:pivotFmt>
      <c:pivotFmt>
        <c:idx val="4"/>
        <c:spPr>
          <a:solidFill>
            <a:srgbClr val="FFC000"/>
          </a:solidFill>
          <a:ln>
            <a:noFill/>
          </a:ln>
          <a:effectLst/>
        </c:spPr>
      </c:pivotFmt>
      <c:pivotFmt>
        <c:idx val="5"/>
        <c:spPr>
          <a:solidFill>
            <a:srgbClr val="00B050"/>
          </a:solidFill>
          <a:ln>
            <a:noFill/>
          </a:ln>
          <a:effectLst/>
        </c:spPr>
      </c:pivotFmt>
    </c:pivotFmts>
    <c:plotArea>
      <c:layout/>
      <c:barChart>
        <c:barDir val="bar"/>
        <c:grouping val="clustered"/>
        <c:varyColors val="0"/>
        <c:ser>
          <c:idx val="0"/>
          <c:order val="0"/>
          <c:tx>
            <c:strRef>
              <c:f>Pivot!$B$20</c:f>
              <c:strCache>
                <c:ptCount val="1"/>
                <c:pt idx="0">
                  <c:v>Total</c:v>
                </c:pt>
              </c:strCache>
            </c:strRef>
          </c:tx>
          <c:spPr>
            <a:solidFill>
              <a:schemeClr val="accent1"/>
            </a:solidFill>
            <a:ln>
              <a:noFill/>
            </a:ln>
            <a:effectLst/>
          </c:spPr>
          <c:invertIfNegative val="0"/>
          <c:dPt>
            <c:idx val="0"/>
            <c:invertIfNegative val="0"/>
            <c:bubble3D val="0"/>
          </c:dPt>
          <c:dPt>
            <c:idx val="1"/>
            <c:invertIfNegative val="0"/>
            <c:bubble3D val="0"/>
          </c:dPt>
          <c:dPt>
            <c:idx val="2"/>
            <c:invertIfNegative val="0"/>
            <c:bubble3D val="0"/>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Segoe UI Black" panose="020B0A02040204020203" pitchFamily="34" charset="0"/>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Pivot!$A$21:$A$24</c:f>
              <c:strCache>
                <c:ptCount val="3"/>
                <c:pt idx="0">
                  <c:v>AMAN</c:v>
                </c:pt>
                <c:pt idx="1">
                  <c:v>RISHI</c:v>
                </c:pt>
                <c:pt idx="2">
                  <c:v>RAHUL</c:v>
                </c:pt>
              </c:strCache>
            </c:strRef>
          </c:cat>
          <c:val>
            <c:numRef>
              <c:f>Pivot!$B$21:$B$24</c:f>
              <c:numCache>
                <c:formatCode>General</c:formatCode>
                <c:ptCount val="3"/>
                <c:pt idx="0">
                  <c:v>9156</c:v>
                </c:pt>
                <c:pt idx="1">
                  <c:v>9490</c:v>
                </c:pt>
                <c:pt idx="2">
                  <c:v>9878</c:v>
                </c:pt>
              </c:numCache>
            </c:numRef>
          </c:val>
        </c:ser>
        <c:dLbls>
          <c:dLblPos val="outEnd"/>
          <c:showLegendKey val="0"/>
          <c:showVal val="1"/>
          <c:showCatName val="0"/>
          <c:showSerName val="0"/>
          <c:showPercent val="0"/>
          <c:showBubbleSize val="0"/>
        </c:dLbls>
        <c:gapWidth val="219"/>
        <c:axId val="360756160"/>
        <c:axId val="360757336"/>
      </c:barChart>
      <c:catAx>
        <c:axId val="36075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60757336"/>
        <c:crosses val="autoZero"/>
        <c:auto val="1"/>
        <c:lblAlgn val="ctr"/>
        <c:lblOffset val="100"/>
        <c:noMultiLvlLbl val="0"/>
      </c:catAx>
      <c:valAx>
        <c:axId val="360757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607561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[SHIFT INCHARGE PERFORMANCE-MAY-26.xlsx]Pivot!PivotTable5</c:name>
    <c:fmtId val="19"/>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rgbClr val="C00000"/>
          </a:solidFill>
          <a:ln>
            <a:noFill/>
          </a:ln>
          <a:effectLst/>
        </c:spPr>
      </c:pivotFmt>
      <c:pivotFmt>
        <c:idx val="4"/>
        <c:spPr>
          <a:solidFill>
            <a:srgbClr val="FFC000"/>
          </a:solidFill>
          <a:ln>
            <a:noFill/>
          </a:ln>
          <a:effectLst/>
        </c:spPr>
      </c:pivotFmt>
      <c:pivotFmt>
        <c:idx val="5"/>
        <c:spPr>
          <a:solidFill>
            <a:srgbClr val="92D050"/>
          </a:solidFill>
          <a:ln>
            <a:noFill/>
          </a:ln>
          <a:effectLst/>
        </c:spPr>
      </c:pivotFmt>
    </c:pivotFmts>
    <c:plotArea>
      <c:layout/>
      <c:barChart>
        <c:barDir val="col"/>
        <c:grouping val="clustered"/>
        <c:varyColors val="0"/>
        <c:ser>
          <c:idx val="0"/>
          <c:order val="0"/>
          <c:tx>
            <c:strRef>
              <c:f>Pivot!$B$28</c:f>
              <c:strCache>
                <c:ptCount val="1"/>
                <c:pt idx="0">
                  <c:v>Total</c:v>
                </c:pt>
              </c:strCache>
            </c:strRef>
          </c:tx>
          <c:spPr>
            <a:solidFill>
              <a:schemeClr val="accent1"/>
            </a:solidFill>
            <a:ln>
              <a:noFill/>
            </a:ln>
            <a:effectLst/>
          </c:spPr>
          <c:invertIfNegative val="0"/>
          <c:dPt>
            <c:idx val="0"/>
            <c:invertIfNegative val="0"/>
            <c:bubble3D val="0"/>
          </c:dPt>
          <c:dPt>
            <c:idx val="1"/>
            <c:invertIfNegative val="0"/>
            <c:bubble3D val="0"/>
          </c:dPt>
          <c:dPt>
            <c:idx val="2"/>
            <c:invertIfNegative val="0"/>
            <c:bubble3D val="0"/>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Pivot!$A$29:$A$32</c:f>
              <c:strCache>
                <c:ptCount val="3"/>
                <c:pt idx="0">
                  <c:v>AMAN</c:v>
                </c:pt>
                <c:pt idx="1">
                  <c:v>RISHI</c:v>
                </c:pt>
                <c:pt idx="2">
                  <c:v>RAHUL</c:v>
                </c:pt>
              </c:strCache>
            </c:strRef>
          </c:cat>
          <c:val>
            <c:numRef>
              <c:f>Pivot!$B$29:$B$32</c:f>
              <c:numCache>
                <c:formatCode>General</c:formatCode>
                <c:ptCount val="3"/>
                <c:pt idx="0">
                  <c:v>21</c:v>
                </c:pt>
                <c:pt idx="1">
                  <c:v>37</c:v>
                </c:pt>
                <c:pt idx="2">
                  <c:v>30</c:v>
                </c:pt>
              </c:numCache>
            </c:numRef>
          </c:val>
        </c:ser>
        <c:dLbls>
          <c:dLblPos val="outEnd"/>
          <c:showLegendKey val="0"/>
          <c:showVal val="1"/>
          <c:showCatName val="0"/>
          <c:showSerName val="0"/>
          <c:showPercent val="0"/>
          <c:showBubbleSize val="0"/>
        </c:dLbls>
        <c:gapWidth val="219"/>
        <c:overlap val="-27"/>
        <c:axId val="360756552"/>
        <c:axId val="360758120"/>
      </c:barChart>
      <c:catAx>
        <c:axId val="360756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60758120"/>
        <c:crosses val="autoZero"/>
        <c:auto val="1"/>
        <c:lblAlgn val="ctr"/>
        <c:lblOffset val="100"/>
        <c:noMultiLvlLbl val="0"/>
      </c:catAx>
      <c:valAx>
        <c:axId val="360758120"/>
        <c:scaling>
          <c:orientation val="minMax"/>
        </c:scaling>
        <c:delete val="1"/>
        <c:axPos val="l"/>
        <c:numFmt formatCode="General" sourceLinked="1"/>
        <c:majorTickMark val="none"/>
        <c:minorTickMark val="none"/>
        <c:tickLblPos val="nextTo"/>
        <c:crossAx val="36075655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[SHIFT INCHARGE PERFORMANCE-MAY-26.xlsx]Pivot!PivotTable4</c:name>
    <c:fmtId val="2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w="28575" cap="rnd">
            <a:solidFill>
              <a:srgbClr val="94F862"/>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rgbClr val="FFC000"/>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4"/>
            </a:solidFill>
            <a:round/>
          </a:ln>
          <a:effectLst/>
        </c:spPr>
        <c:marker>
          <c:symbol val="circle"/>
          <c:size val="5"/>
          <c:spPr>
            <a:solidFill>
              <a:schemeClr val="accent1"/>
            </a:solidFill>
            <a:ln w="9525">
              <a:solidFill>
                <a:schemeClr val="accent1"/>
              </a:solidFill>
            </a:ln>
            <a:effectLst/>
          </c:spPr>
        </c:marker>
        <c:dLbl>
          <c:idx val="0"/>
          <c:layout>
            <c:manualLayout>
              <c:x val="-6.411979271821798E-2"/>
              <c:y val="-0.101377001787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3.7606837606837605E-2"/>
          <c:y val="0.15458937198067632"/>
          <c:w val="0.92478632478632483"/>
          <c:h val="0.56344630834189202"/>
        </c:manualLayout>
      </c:layout>
      <c:lineChart>
        <c:grouping val="standard"/>
        <c:varyColors val="0"/>
        <c:ser>
          <c:idx val="0"/>
          <c:order val="0"/>
          <c:tx>
            <c:strRef>
              <c:f>Pivot!$B$37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dPt>
          <c:dPt>
            <c:idx val="1"/>
            <c:marker>
              <c:symbol val="circle"/>
              <c:size val="5"/>
              <c:spPr>
                <a:solidFill>
                  <a:schemeClr val="accent1"/>
                </a:solidFill>
                <a:ln w="9525">
                  <a:solidFill>
                    <a:schemeClr val="accent1"/>
                  </a:solidFill>
                </a:ln>
                <a:effectLst/>
              </c:spPr>
            </c:marker>
            <c:bubble3D val="0"/>
          </c:dPt>
          <c:dPt>
            <c:idx val="2"/>
            <c:marker>
              <c:symbol val="circle"/>
              <c:size val="5"/>
              <c:spPr>
                <a:solidFill>
                  <a:schemeClr val="accent1"/>
                </a:solidFill>
                <a:ln w="9525">
                  <a:solidFill>
                    <a:schemeClr val="accent1"/>
                  </a:solidFill>
                </a:ln>
                <a:effectLst/>
              </c:spPr>
            </c:marker>
            <c:bubble3D val="0"/>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Pivot!$A$38:$A$41</c:f>
              <c:strCache>
                <c:ptCount val="3"/>
                <c:pt idx="0">
                  <c:v>AMAN</c:v>
                </c:pt>
                <c:pt idx="1">
                  <c:v>RISHI</c:v>
                </c:pt>
                <c:pt idx="2">
                  <c:v>RAHUL</c:v>
                </c:pt>
              </c:strCache>
            </c:strRef>
          </c:cat>
          <c:val>
            <c:numRef>
              <c:f>Pivot!$B$38:$B$41</c:f>
              <c:numCache>
                <c:formatCode>0.00</c:formatCode>
                <c:ptCount val="3"/>
                <c:pt idx="0">
                  <c:v>11.641449459631277</c:v>
                </c:pt>
                <c:pt idx="1">
                  <c:v>11.863982997874732</c:v>
                </c:pt>
                <c:pt idx="2">
                  <c:v>12.562635126542034</c:v>
                </c:pt>
              </c:numCache>
            </c:numRef>
          </c:val>
          <c:smooth val="0"/>
        </c:ser>
        <c:dLbls>
          <c:dLblPos val="t"/>
          <c:showLegendKey val="0"/>
          <c:showVal val="1"/>
          <c:showCatName val="0"/>
          <c:showSerName val="0"/>
          <c:showPercent val="0"/>
          <c:showBubbleSize val="0"/>
        </c:dLbls>
        <c:marker val="1"/>
        <c:smooth val="0"/>
        <c:axId val="360758904"/>
        <c:axId val="362644088"/>
      </c:lineChart>
      <c:catAx>
        <c:axId val="360758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62644088"/>
        <c:crosses val="autoZero"/>
        <c:auto val="1"/>
        <c:lblAlgn val="ctr"/>
        <c:lblOffset val="100"/>
        <c:noMultiLvlLbl val="0"/>
      </c:catAx>
      <c:valAx>
        <c:axId val="362644088"/>
        <c:scaling>
          <c:orientation val="minMax"/>
        </c:scaling>
        <c:delete val="1"/>
        <c:axPos val="l"/>
        <c:numFmt formatCode="0.00" sourceLinked="1"/>
        <c:majorTickMark val="none"/>
        <c:minorTickMark val="none"/>
        <c:tickLblPos val="nextTo"/>
        <c:crossAx val="3607589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[SHIFT INCHARGE PERFORMANCE-MAY-26.xlsx]Pivot!PivotTable6</c:name>
    <c:fmtId val="3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rgbClr val="FFC000"/>
            </a:solidFill>
            <a:round/>
          </a:ln>
          <a:effectLst>
            <a:innerShdw blurRad="114300">
              <a:prstClr val="black"/>
            </a:innerShdw>
          </a:effectLst>
        </c:spPr>
        <c:marker>
          <c:symbol val="circle"/>
          <c:size val="5"/>
          <c:spPr>
            <a:noFill/>
            <a:ln w="9525">
              <a:solidFill>
                <a:schemeClr val="accent1"/>
              </a:solidFill>
            </a:ln>
            <a:effectLst>
              <a:innerShdw blurRad="114300">
                <a:prstClr val="black"/>
              </a:inn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w="28575" cap="rnd">
            <a:solidFill>
              <a:srgbClr val="FFC000"/>
            </a:solidFill>
            <a:round/>
          </a:ln>
          <a:effectLst>
            <a:innerShdw blurRad="114300">
              <a:prstClr val="black"/>
            </a:innerShdw>
          </a:effectLst>
        </c:spPr>
        <c:marker>
          <c:symbol val="circle"/>
          <c:size val="5"/>
          <c:spPr>
            <a:noFill/>
            <a:ln w="9525">
              <a:solidFill>
                <a:schemeClr val="accent1"/>
              </a:solidFill>
            </a:ln>
            <a:effectLst>
              <a:innerShdw blurRad="114300">
                <a:prstClr val="black"/>
              </a:innerShdw>
            </a:effectLst>
          </c:spPr>
        </c:marker>
        <c:dLbl>
          <c:idx val="0"/>
          <c:layout>
            <c:manualLayout>
              <c:x val="-9.0400190720836895E-2"/>
              <c:y val="-5.8098651093837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C000"/>
            </a:solidFill>
            <a:round/>
          </a:ln>
          <a:effectLst>
            <a:innerShdw blurRad="114300">
              <a:prstClr val="black"/>
            </a:innerShdw>
          </a:effectLst>
        </c:spPr>
        <c:marker>
          <c:symbol val="circle"/>
          <c:size val="5"/>
          <c:spPr>
            <a:noFill/>
            <a:ln w="9525">
              <a:solidFill>
                <a:schemeClr val="accent1"/>
              </a:solidFill>
            </a:ln>
            <a:effectLst>
              <a:innerShdw blurRad="114300">
                <a:prstClr val="black"/>
              </a:innerShdw>
            </a:effectLst>
          </c:spPr>
        </c:marker>
        <c:dLbl>
          <c:idx val="0"/>
          <c:layout>
            <c:manualLayout>
              <c:x val="-8.6297625292994243E-2"/>
              <c:y val="-6.70472032603732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C000"/>
            </a:solidFill>
            <a:round/>
          </a:ln>
          <a:effectLst>
            <a:innerShdw blurRad="114300">
              <a:prstClr val="black"/>
            </a:innerShdw>
          </a:effectLst>
        </c:spPr>
        <c:marker>
          <c:symbol val="circle"/>
          <c:size val="5"/>
          <c:spPr>
            <a:noFill/>
            <a:ln w="9525">
              <a:solidFill>
                <a:schemeClr val="accent1"/>
              </a:solidFill>
            </a:ln>
            <a:effectLst>
              <a:innerShdw blurRad="114300">
                <a:prstClr val="black"/>
              </a:innerShdw>
            </a:effectLst>
          </c:spPr>
        </c:marker>
        <c:dLbl>
          <c:idx val="0"/>
          <c:layout>
            <c:manualLayout>
              <c:x val="-8.6297625292994243E-2"/>
              <c:y val="-6.70472032603732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FFC000"/>
            </a:solidFill>
            <a:round/>
          </a:ln>
          <a:effectLst>
            <a:innerShdw blurRad="114300">
              <a:prstClr val="black"/>
            </a:innerShdw>
          </a:effectLst>
        </c:spPr>
        <c:marker>
          <c:symbol val="circle"/>
          <c:size val="5"/>
          <c:spPr>
            <a:noFill/>
            <a:ln w="9525">
              <a:solidFill>
                <a:schemeClr val="accent1"/>
              </a:solidFill>
            </a:ln>
            <a:effectLst>
              <a:innerShdw blurRad="114300">
                <a:prstClr val="black"/>
              </a:innerShdw>
            </a:effectLst>
          </c:spPr>
        </c:marker>
        <c:dLbl>
          <c:idx val="0"/>
          <c:layout>
            <c:manualLayout>
              <c:x val="-9.8605321576522284E-2"/>
              <c:y val="-7.59957554269093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ln w="28575" cap="rnd">
            <a:solidFill>
              <a:srgbClr val="FFC000"/>
            </a:solidFill>
            <a:round/>
          </a:ln>
          <a:effectLst>
            <a:innerShdw blurRad="114300">
              <a:prstClr val="black"/>
            </a:innerShdw>
          </a:effectLst>
        </c:spPr>
        <c:marker>
          <c:symbol val="circle"/>
          <c:size val="5"/>
          <c:spPr>
            <a:noFill/>
            <a:ln w="9525">
              <a:solidFill>
                <a:schemeClr val="accent1"/>
              </a:solidFill>
            </a:ln>
            <a:effectLst>
              <a:innerShdw blurRad="114300">
                <a:prstClr val="black"/>
              </a:innerShdw>
            </a:effectLst>
          </c:spPr>
        </c:marker>
        <c:dLbl>
          <c:idx val="0"/>
          <c:layout>
            <c:manualLayout>
              <c:x val="-8.6297625292994243E-2"/>
              <c:y val="-7.59957554269093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4.5128219706269235E-2"/>
          <c:y val="0.15709641325118515"/>
          <c:w val="0.90974356058746153"/>
          <c:h val="0.58163604549431325"/>
        </c:manualLayout>
      </c:layout>
      <c:lineChart>
        <c:grouping val="stacked"/>
        <c:varyColors val="0"/>
        <c:ser>
          <c:idx val="0"/>
          <c:order val="0"/>
          <c:tx>
            <c:strRef>
              <c:f>Pivot!$B$47</c:f>
              <c:strCache>
                <c:ptCount val="1"/>
                <c:pt idx="0">
                  <c:v>Total</c:v>
                </c:pt>
              </c:strCache>
            </c:strRef>
          </c:tx>
          <c:spPr>
            <a:ln w="28575" cap="rnd">
              <a:solidFill>
                <a:srgbClr val="FFC000"/>
              </a:solidFill>
              <a:round/>
            </a:ln>
            <a:effectLst>
              <a:innerShdw blurRad="114300">
                <a:prstClr val="black"/>
              </a:innerShdw>
            </a:effectLst>
          </c:spPr>
          <c:marker>
            <c:symbol val="circle"/>
            <c:size val="5"/>
            <c:spPr>
              <a:noFill/>
              <a:ln w="9525">
                <a:solidFill>
                  <a:schemeClr val="accent1"/>
                </a:solidFill>
              </a:ln>
              <a:effectLst>
                <a:innerShdw blurRad="114300">
                  <a:prstClr val="black"/>
                </a:innerShdw>
              </a:effectLst>
            </c:spPr>
          </c:marker>
          <c:dPt>
            <c:idx val="0"/>
            <c:marker>
              <c:symbol val="circle"/>
              <c:size val="5"/>
              <c:spPr>
                <a:noFill/>
                <a:ln w="9525">
                  <a:solidFill>
                    <a:schemeClr val="accent1"/>
                  </a:solidFill>
                </a:ln>
                <a:effectLst>
                  <a:innerShdw blurRad="114300">
                    <a:prstClr val="black"/>
                  </a:innerShdw>
                </a:effectLst>
              </c:spPr>
            </c:marker>
            <c:bubble3D val="0"/>
          </c:dPt>
          <c:dPt>
            <c:idx val="1"/>
            <c:marker>
              <c:symbol val="circle"/>
              <c:size val="5"/>
              <c:spPr>
                <a:noFill/>
                <a:ln w="9525">
                  <a:solidFill>
                    <a:schemeClr val="accent1"/>
                  </a:solidFill>
                </a:ln>
                <a:effectLst>
                  <a:innerShdw blurRad="114300">
                    <a:prstClr val="black"/>
                  </a:innerShdw>
                </a:effectLst>
              </c:spPr>
            </c:marker>
            <c:bubble3D val="0"/>
          </c:dPt>
          <c:dLbls>
            <c:dLbl>
              <c:idx val="0"/>
              <c:layout>
                <c:manualLayout>
                  <c:x val="-8.6297625292994243E-2"/>
                  <c:y val="-7.5995755426909353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9.8605321576522284E-2"/>
                  <c:y val="-7.5995755426909367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Pivot!$A$48:$A$51</c:f>
              <c:strCache>
                <c:ptCount val="3"/>
                <c:pt idx="0">
                  <c:v>AMAN</c:v>
                </c:pt>
                <c:pt idx="1">
                  <c:v>RISHI</c:v>
                </c:pt>
                <c:pt idx="2">
                  <c:v>RAHUL</c:v>
                </c:pt>
              </c:strCache>
            </c:strRef>
          </c:cat>
          <c:val>
            <c:numRef>
              <c:f>Pivot!$B$48:$B$51</c:f>
              <c:numCache>
                <c:formatCode>0.00</c:formatCode>
                <c:ptCount val="3"/>
                <c:pt idx="0">
                  <c:v>182.72345835982196</c:v>
                </c:pt>
                <c:pt idx="1">
                  <c:v>186.30203775471932</c:v>
                </c:pt>
                <c:pt idx="2">
                  <c:v>197.27457713340968</c:v>
                </c:pt>
              </c:numCache>
            </c:numRef>
          </c:val>
          <c:smooth val="0"/>
        </c:ser>
        <c:dLbls>
          <c:dLblPos val="t"/>
          <c:showLegendKey val="0"/>
          <c:showVal val="1"/>
          <c:showCatName val="0"/>
          <c:showSerName val="0"/>
          <c:showPercent val="0"/>
          <c:showBubbleSize val="0"/>
        </c:dLbls>
        <c:marker val="1"/>
        <c:smooth val="0"/>
        <c:axId val="362648008"/>
        <c:axId val="362649576"/>
      </c:lineChart>
      <c:catAx>
        <c:axId val="362648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62649576"/>
        <c:crosses val="autoZero"/>
        <c:auto val="1"/>
        <c:lblAlgn val="ctr"/>
        <c:lblOffset val="100"/>
        <c:noMultiLvlLbl val="0"/>
      </c:catAx>
      <c:valAx>
        <c:axId val="362649576"/>
        <c:scaling>
          <c:orientation val="minMax"/>
        </c:scaling>
        <c:delete val="1"/>
        <c:axPos val="l"/>
        <c:numFmt formatCode="0.00" sourceLinked="1"/>
        <c:majorTickMark val="none"/>
        <c:minorTickMark val="none"/>
        <c:tickLblPos val="nextTo"/>
        <c:crossAx val="362648008"/>
        <c:crosses val="autoZero"/>
        <c:crossBetween val="between"/>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323850</xdr:colOff>
      <xdr:row>2</xdr:row>
      <xdr:rowOff>80962</xdr:rowOff>
    </xdr:from>
    <xdr:to>
      <xdr:col>4</xdr:col>
      <xdr:colOff>847725</xdr:colOff>
      <xdr:row>8</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85724</xdr:colOff>
      <xdr:row>19</xdr:row>
      <xdr:rowOff>4763</xdr:rowOff>
    </xdr:from>
    <xdr:to>
      <xdr:col>3</xdr:col>
      <xdr:colOff>1466849</xdr:colOff>
      <xdr:row>24</xdr:row>
      <xdr:rowOff>57151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57150</xdr:colOff>
      <xdr:row>27</xdr:row>
      <xdr:rowOff>14287</xdr:rowOff>
    </xdr:from>
    <xdr:to>
      <xdr:col>3</xdr:col>
      <xdr:colOff>1209675</xdr:colOff>
      <xdr:row>33</xdr:row>
      <xdr:rowOff>180975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38100</xdr:colOff>
      <xdr:row>36</xdr:row>
      <xdr:rowOff>9525</xdr:rowOff>
    </xdr:from>
    <xdr:to>
      <xdr:col>3</xdr:col>
      <xdr:colOff>1628775</xdr:colOff>
      <xdr:row>43</xdr:row>
      <xdr:rowOff>19050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28575</xdr:colOff>
      <xdr:row>46</xdr:row>
      <xdr:rowOff>33337</xdr:rowOff>
    </xdr:from>
    <xdr:to>
      <xdr:col>3</xdr:col>
      <xdr:colOff>1638300</xdr:colOff>
      <xdr:row>54</xdr:row>
      <xdr:rowOff>38100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47625</xdr:colOff>
      <xdr:row>30</xdr:row>
      <xdr:rowOff>123825</xdr:rowOff>
    </xdr:from>
    <xdr:to>
      <xdr:col>6</xdr:col>
      <xdr:colOff>200025</xdr:colOff>
      <xdr:row>37</xdr:row>
      <xdr:rowOff>57150</xdr:rowOff>
    </xdr:to>
    <mc:AlternateContent xmlns:mc="http://schemas.openxmlformats.org/markup-compatibility/2006" xmlns:a14="http://schemas.microsoft.com/office/drawing/2010/main">
      <mc:Choice Requires="a14">
        <xdr:graphicFrame macro="">
          <xdr:nvGraphicFramePr>
            <xdr:cNvPr id="9" name="Shift In-Charge Name"/>
            <xdr:cNvGraphicFramePr/>
          </xdr:nvGraphicFramePr>
          <xdr:xfrm>
            <a:off x="0" y="0"/>
            <a:ext cx="0" cy="0"/>
          </xdr:xfrm>
          <a:graphic>
            <a:graphicData uri="http://schemas.microsoft.com/office/drawing/2010/slicer">
              <sle:slicer xmlns:sle="http://schemas.microsoft.com/office/drawing/2010/slicer" name="Shift In-Charge Name"/>
            </a:graphicData>
          </a:graphic>
        </xdr:graphicFrame>
      </mc:Choice>
      <mc:Fallback xmlns="">
        <xdr:sp macro="" textlink="">
          <xdr:nvSpPr>
            <xdr:cNvPr id="0" name=""/>
            <xdr:cNvSpPr>
              <a:spLocks noTextEdit="1"/>
            </xdr:cNvSpPr>
          </xdr:nvSpPr>
          <xdr:spPr>
            <a:xfrm>
              <a:off x="6657975" y="5943600"/>
              <a:ext cx="1828800" cy="12668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419100</xdr:colOff>
      <xdr:row>1</xdr:row>
      <xdr:rowOff>38100</xdr:rowOff>
    </xdr:from>
    <xdr:to>
      <xdr:col>14</xdr:col>
      <xdr:colOff>390525</xdr:colOff>
      <xdr:row>23</xdr:row>
      <xdr:rowOff>114300</xdr:rowOff>
    </xdr:to>
    <xdr:sp macro="" textlink="">
      <xdr:nvSpPr>
        <xdr:cNvPr id="2" name="Rounded Rectangle 1"/>
        <xdr:cNvSpPr/>
      </xdr:nvSpPr>
      <xdr:spPr>
        <a:xfrm>
          <a:off x="419100" y="38100"/>
          <a:ext cx="8505825" cy="4267200"/>
        </a:xfrm>
        <a:prstGeom prst="roundRect">
          <a:avLst>
            <a:gd name="adj" fmla="val 4329"/>
          </a:avLst>
        </a:prstGeom>
        <a:solidFill>
          <a:srgbClr val="DEBEF0"/>
        </a:solidFill>
        <a:ln>
          <a:solidFill>
            <a:schemeClr val="tx1"/>
          </a:solidFill>
        </a:ln>
        <a:effectLst>
          <a:innerShdw blurRad="114300">
            <a:schemeClr val="bg1"/>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504825</xdr:colOff>
      <xdr:row>3</xdr:row>
      <xdr:rowOff>123826</xdr:rowOff>
    </xdr:from>
    <xdr:to>
      <xdr:col>2</xdr:col>
      <xdr:colOff>266700</xdr:colOff>
      <xdr:row>23</xdr:row>
      <xdr:rowOff>47626</xdr:rowOff>
    </xdr:to>
    <xdr:sp macro="" textlink="">
      <xdr:nvSpPr>
        <xdr:cNvPr id="4" name="Rounded Rectangle 3"/>
        <xdr:cNvSpPr/>
      </xdr:nvSpPr>
      <xdr:spPr>
        <a:xfrm>
          <a:off x="504825" y="504826"/>
          <a:ext cx="981075" cy="3733800"/>
        </a:xfrm>
        <a:prstGeom prst="roundRect">
          <a:avLst/>
        </a:prstGeom>
        <a:solidFill>
          <a:srgbClr val="DEBEF0"/>
        </a:solidFill>
        <a:ln w="12700">
          <a:solidFill>
            <a:schemeClr val="bg1"/>
          </a:solidFill>
        </a:ln>
        <a:effectLst>
          <a:outerShdw blurRad="50800" dist="50800" dir="5400000" algn="ctr" rotWithShape="0">
            <a:schemeClr val="bg1">
              <a:alpha val="41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533401</xdr:colOff>
      <xdr:row>1</xdr:row>
      <xdr:rowOff>114301</xdr:rowOff>
    </xdr:from>
    <xdr:to>
      <xdr:col>14</xdr:col>
      <xdr:colOff>333375</xdr:colOff>
      <xdr:row>3</xdr:row>
      <xdr:rowOff>57151</xdr:rowOff>
    </xdr:to>
    <xdr:sp macro="" textlink="">
      <xdr:nvSpPr>
        <xdr:cNvPr id="5" name="Rectangle 4"/>
        <xdr:cNvSpPr/>
      </xdr:nvSpPr>
      <xdr:spPr>
        <a:xfrm>
          <a:off x="533401" y="114301"/>
          <a:ext cx="8334374" cy="323850"/>
        </a:xfrm>
        <a:prstGeom prst="rect">
          <a:avLst/>
        </a:prstGeom>
        <a:solidFill>
          <a:srgbClr val="5044A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a:t>
          </a:r>
          <a:r>
            <a:rPr lang="en-GB" sz="1100" b="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a:t>
          </a:r>
          <a:r>
            <a:rPr lang="en-GB" sz="11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a:t>
          </a:r>
          <a:r>
            <a:rPr lang="en-GB" sz="1100" b="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a:t>
          </a:r>
          <a:r>
            <a:rPr lang="en-GB" sz="1600" b="1" cap="none" spc="0" baseline="0">
              <a:ln w="0"/>
              <a:solidFill>
                <a:schemeClr val="bg1"/>
              </a:solidFill>
              <a:effectLst>
                <a:reflection blurRad="6350" stA="53000" endA="300" endPos="35500" dir="5400000" sy="-90000" algn="bl" rotWithShape="0"/>
              </a:effectLst>
            </a:rPr>
            <a:t>RAIPUR</a:t>
          </a:r>
          <a:r>
            <a:rPr lang="en-GB" sz="1600" b="1" cap="none" spc="0">
              <a:ln w="0"/>
              <a:solidFill>
                <a:schemeClr val="bg1"/>
              </a:solidFill>
              <a:effectLst>
                <a:reflection blurRad="6350" stA="53000" endA="300" endPos="35500" dir="5400000" sy="-90000" algn="bl" rotWithShape="0"/>
              </a:effectLst>
            </a:rPr>
            <a:t> SITE SHIFT INCHARGE MONTHLY PERFORMANCE </a:t>
          </a:r>
          <a:r>
            <a:rPr lang="en-GB" sz="1600" b="1" cap="none" spc="0">
              <a:ln w="0"/>
              <a:solidFill>
                <a:schemeClr val="bg1"/>
              </a:solidFill>
              <a:effectLst/>
            </a:rPr>
            <a:t>DASHBOARD - MAY-26</a:t>
          </a:r>
        </a:p>
      </xdr:txBody>
    </xdr:sp>
    <xdr:clientData/>
  </xdr:twoCellAnchor>
  <xdr:twoCellAnchor>
    <xdr:from>
      <xdr:col>2</xdr:col>
      <xdr:colOff>523875</xdr:colOff>
      <xdr:row>3</xdr:row>
      <xdr:rowOff>114300</xdr:rowOff>
    </xdr:from>
    <xdr:to>
      <xdr:col>4</xdr:col>
      <xdr:colOff>466725</xdr:colOff>
      <xdr:row>6</xdr:row>
      <xdr:rowOff>133350</xdr:rowOff>
    </xdr:to>
    <xdr:sp macro="" textlink="">
      <xdr:nvSpPr>
        <xdr:cNvPr id="6" name="Rounded Rectangle 5"/>
        <xdr:cNvSpPr/>
      </xdr:nvSpPr>
      <xdr:spPr>
        <a:xfrm>
          <a:off x="1743075" y="495300"/>
          <a:ext cx="1162050" cy="590550"/>
        </a:xfrm>
        <a:prstGeom prst="roundRect">
          <a:avLst/>
        </a:prstGeom>
        <a:solidFill>
          <a:srgbClr val="DEBEF0"/>
        </a:solidFill>
        <a:ln>
          <a:solidFill>
            <a:schemeClr val="bg1"/>
          </a:solidFill>
        </a:ln>
        <a:effectLst>
          <a:outerShdw blurRad="50800" dist="50800" dir="5400000" algn="ctr" rotWithShape="0">
            <a:schemeClr val="bg1">
              <a:alpha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219075</xdr:colOff>
      <xdr:row>3</xdr:row>
      <xdr:rowOff>114300</xdr:rowOff>
    </xdr:from>
    <xdr:to>
      <xdr:col>7</xdr:col>
      <xdr:colOff>161925</xdr:colOff>
      <xdr:row>6</xdr:row>
      <xdr:rowOff>133350</xdr:rowOff>
    </xdr:to>
    <xdr:sp macro="" textlink="">
      <xdr:nvSpPr>
        <xdr:cNvPr id="9" name="Rounded Rectangle 8"/>
        <xdr:cNvSpPr/>
      </xdr:nvSpPr>
      <xdr:spPr>
        <a:xfrm>
          <a:off x="3267075" y="495300"/>
          <a:ext cx="1162050" cy="590550"/>
        </a:xfrm>
        <a:prstGeom prst="roundRect">
          <a:avLst/>
        </a:prstGeom>
        <a:solidFill>
          <a:srgbClr val="DEBEF0"/>
        </a:solidFill>
        <a:ln>
          <a:solidFill>
            <a:schemeClr val="bg1"/>
          </a:solidFill>
        </a:ln>
        <a:effectLst>
          <a:outerShdw blurRad="50800" dist="50800" dir="5400000" algn="ctr" rotWithShape="0">
            <a:schemeClr val="bg1">
              <a:alpha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485775</xdr:colOff>
      <xdr:row>3</xdr:row>
      <xdr:rowOff>114300</xdr:rowOff>
    </xdr:from>
    <xdr:to>
      <xdr:col>9</xdr:col>
      <xdr:colOff>428625</xdr:colOff>
      <xdr:row>6</xdr:row>
      <xdr:rowOff>133350</xdr:rowOff>
    </xdr:to>
    <xdr:sp macro="" textlink="">
      <xdr:nvSpPr>
        <xdr:cNvPr id="10" name="Rounded Rectangle 9"/>
        <xdr:cNvSpPr/>
      </xdr:nvSpPr>
      <xdr:spPr>
        <a:xfrm>
          <a:off x="4752975" y="495300"/>
          <a:ext cx="1162050" cy="590550"/>
        </a:xfrm>
        <a:prstGeom prst="roundRect">
          <a:avLst/>
        </a:prstGeom>
        <a:solidFill>
          <a:srgbClr val="DEBEF0"/>
        </a:solidFill>
        <a:ln>
          <a:solidFill>
            <a:schemeClr val="bg1"/>
          </a:solidFill>
        </a:ln>
        <a:effectLst>
          <a:outerShdw blurRad="50800" dist="50800" dir="5400000" algn="ctr" rotWithShape="0">
            <a:schemeClr val="bg1">
              <a:alpha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133350</xdr:colOff>
      <xdr:row>3</xdr:row>
      <xdr:rowOff>114300</xdr:rowOff>
    </xdr:from>
    <xdr:to>
      <xdr:col>12</xdr:col>
      <xdr:colOff>76200</xdr:colOff>
      <xdr:row>6</xdr:row>
      <xdr:rowOff>133350</xdr:rowOff>
    </xdr:to>
    <xdr:sp macro="" textlink="">
      <xdr:nvSpPr>
        <xdr:cNvPr id="11" name="Rounded Rectangle 10"/>
        <xdr:cNvSpPr/>
      </xdr:nvSpPr>
      <xdr:spPr>
        <a:xfrm>
          <a:off x="6229350" y="495300"/>
          <a:ext cx="1162050" cy="590550"/>
        </a:xfrm>
        <a:prstGeom prst="roundRect">
          <a:avLst/>
        </a:prstGeom>
        <a:solidFill>
          <a:srgbClr val="DEBEF0"/>
        </a:solidFill>
        <a:ln>
          <a:solidFill>
            <a:schemeClr val="bg1"/>
          </a:solidFill>
        </a:ln>
        <a:effectLst>
          <a:outerShdw blurRad="50800" dist="50800" dir="5400000" algn="ctr" rotWithShape="0">
            <a:schemeClr val="bg1">
              <a:alpha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361950</xdr:colOff>
      <xdr:row>3</xdr:row>
      <xdr:rowOff>114300</xdr:rowOff>
    </xdr:from>
    <xdr:to>
      <xdr:col>14</xdr:col>
      <xdr:colOff>304800</xdr:colOff>
      <xdr:row>6</xdr:row>
      <xdr:rowOff>133350</xdr:rowOff>
    </xdr:to>
    <xdr:sp macro="" textlink="">
      <xdr:nvSpPr>
        <xdr:cNvPr id="12" name="Rounded Rectangle 11"/>
        <xdr:cNvSpPr/>
      </xdr:nvSpPr>
      <xdr:spPr>
        <a:xfrm>
          <a:off x="7677150" y="495300"/>
          <a:ext cx="1162050" cy="590550"/>
        </a:xfrm>
        <a:prstGeom prst="roundRect">
          <a:avLst/>
        </a:prstGeom>
        <a:solidFill>
          <a:srgbClr val="DEBEF0"/>
        </a:solidFill>
        <a:ln>
          <a:solidFill>
            <a:schemeClr val="bg1"/>
          </a:solidFill>
        </a:ln>
        <a:effectLst>
          <a:outerShdw blurRad="50800" dist="50800" dir="5400000" algn="ctr" rotWithShape="0">
            <a:schemeClr val="bg1">
              <a:alpha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571500</xdr:colOff>
      <xdr:row>3</xdr:row>
      <xdr:rowOff>161924</xdr:rowOff>
    </xdr:from>
    <xdr:to>
      <xdr:col>4</xdr:col>
      <xdr:colOff>438150</xdr:colOff>
      <xdr:row>4</xdr:row>
      <xdr:rowOff>133350</xdr:rowOff>
    </xdr:to>
    <xdr:sp macro="" textlink="">
      <xdr:nvSpPr>
        <xdr:cNvPr id="24" name="TextBox 23"/>
        <xdr:cNvSpPr txBox="1"/>
      </xdr:nvSpPr>
      <xdr:spPr>
        <a:xfrm>
          <a:off x="1790700" y="590549"/>
          <a:ext cx="1085850"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900" b="1">
              <a:solidFill>
                <a:schemeClr val="tx1"/>
              </a:solidFill>
            </a:rPr>
            <a:t>Total</a:t>
          </a:r>
          <a:r>
            <a:rPr lang="en-GB" sz="900" b="1" baseline="0">
              <a:solidFill>
                <a:schemeClr val="tx1"/>
              </a:solidFill>
            </a:rPr>
            <a:t> OB </a:t>
          </a:r>
          <a:r>
            <a:rPr lang="en-GB" sz="1000" b="1" baseline="0">
              <a:solidFill>
                <a:schemeClr val="tx1"/>
              </a:solidFill>
            </a:rPr>
            <a:t>Quantity</a:t>
          </a:r>
          <a:endParaRPr lang="en-GB" sz="1000" b="1">
            <a:solidFill>
              <a:schemeClr val="tx1"/>
            </a:solidFill>
          </a:endParaRPr>
        </a:p>
      </xdr:txBody>
    </xdr:sp>
    <xdr:clientData/>
  </xdr:twoCellAnchor>
  <xdr:twoCellAnchor>
    <xdr:from>
      <xdr:col>3</xdr:col>
      <xdr:colOff>219076</xdr:colOff>
      <xdr:row>4</xdr:row>
      <xdr:rowOff>171450</xdr:rowOff>
    </xdr:from>
    <xdr:to>
      <xdr:col>4</xdr:col>
      <xdr:colOff>276226</xdr:colOff>
      <xdr:row>6</xdr:row>
      <xdr:rowOff>28575</xdr:rowOff>
    </xdr:to>
    <xdr:sp macro="" textlink="Pivot!A16">
      <xdr:nvSpPr>
        <xdr:cNvPr id="25" name="TextBox 24"/>
        <xdr:cNvSpPr txBox="1"/>
      </xdr:nvSpPr>
      <xdr:spPr>
        <a:xfrm>
          <a:off x="2047876" y="742950"/>
          <a:ext cx="6667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12595C-80B1-4FFD-AA62-BC81BED5992D}" type="TxLink">
            <a:rPr lang="en-US" sz="1000" b="1" i="0" u="none" strike="noStrike">
              <a:solidFill>
                <a:srgbClr val="000000"/>
              </a:solidFill>
              <a:latin typeface="Calibri"/>
              <a:cs typeface="Calibri"/>
            </a:rPr>
            <a:pPr/>
            <a:t>447,852</a:t>
          </a:fld>
          <a:endParaRPr lang="en-GB" sz="1000" b="1"/>
        </a:p>
      </xdr:txBody>
    </xdr:sp>
    <xdr:clientData/>
  </xdr:twoCellAnchor>
  <xdr:twoCellAnchor>
    <xdr:from>
      <xdr:col>5</xdr:col>
      <xdr:colOff>333375</xdr:colOff>
      <xdr:row>3</xdr:row>
      <xdr:rowOff>161924</xdr:rowOff>
    </xdr:from>
    <xdr:to>
      <xdr:col>7</xdr:col>
      <xdr:colOff>114300</xdr:colOff>
      <xdr:row>4</xdr:row>
      <xdr:rowOff>133350</xdr:rowOff>
    </xdr:to>
    <xdr:sp macro="" textlink="">
      <xdr:nvSpPr>
        <xdr:cNvPr id="26" name="TextBox 25"/>
        <xdr:cNvSpPr txBox="1"/>
      </xdr:nvSpPr>
      <xdr:spPr>
        <a:xfrm>
          <a:off x="3381375" y="542924"/>
          <a:ext cx="1000125"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900" b="1">
              <a:solidFill>
                <a:schemeClr val="tx1"/>
              </a:solidFill>
            </a:rPr>
            <a:t>Total</a:t>
          </a:r>
          <a:r>
            <a:rPr lang="en-GB" sz="900" b="1" baseline="0">
              <a:solidFill>
                <a:schemeClr val="tx1"/>
              </a:solidFill>
            </a:rPr>
            <a:t> Trip</a:t>
          </a:r>
          <a:endParaRPr lang="en-GB" sz="1000" b="1">
            <a:solidFill>
              <a:schemeClr val="tx1"/>
            </a:solidFill>
          </a:endParaRPr>
        </a:p>
      </xdr:txBody>
    </xdr:sp>
    <xdr:clientData/>
  </xdr:twoCellAnchor>
  <xdr:twoCellAnchor>
    <xdr:from>
      <xdr:col>5</xdr:col>
      <xdr:colOff>581026</xdr:colOff>
      <xdr:row>4</xdr:row>
      <xdr:rowOff>171450</xdr:rowOff>
    </xdr:from>
    <xdr:to>
      <xdr:col>7</xdr:col>
      <xdr:colOff>28576</xdr:colOff>
      <xdr:row>6</xdr:row>
      <xdr:rowOff>28575</xdr:rowOff>
    </xdr:to>
    <xdr:sp macro="" textlink="Pivot!E16">
      <xdr:nvSpPr>
        <xdr:cNvPr id="27" name="TextBox 26"/>
        <xdr:cNvSpPr txBox="1"/>
      </xdr:nvSpPr>
      <xdr:spPr>
        <a:xfrm>
          <a:off x="3629026" y="742950"/>
          <a:ext cx="6667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A0F8B4B-5372-441C-8FF1-D969C178512B}" type="TxLink">
            <a:rPr lang="en-US" sz="1000" b="1" i="0" u="none" strike="noStrike">
              <a:solidFill>
                <a:srgbClr val="000000"/>
              </a:solidFill>
              <a:latin typeface="Calibri"/>
              <a:ea typeface="+mn-ea"/>
              <a:cs typeface="Calibri"/>
            </a:rPr>
            <a:pPr marL="0" indent="0"/>
            <a:t>28524</a:t>
          </a:fld>
          <a:endParaRPr lang="en-GB" sz="1000" b="1" i="0" u="none" strike="noStrike">
            <a:solidFill>
              <a:srgbClr val="000000"/>
            </a:solidFill>
            <a:latin typeface="Calibri"/>
            <a:ea typeface="+mn-ea"/>
            <a:cs typeface="Calibri"/>
          </a:endParaRPr>
        </a:p>
      </xdr:txBody>
    </xdr:sp>
    <xdr:clientData/>
  </xdr:twoCellAnchor>
  <xdr:twoCellAnchor>
    <xdr:from>
      <xdr:col>7</xdr:col>
      <xdr:colOff>400050</xdr:colOff>
      <xdr:row>3</xdr:row>
      <xdr:rowOff>147637</xdr:rowOff>
    </xdr:from>
    <xdr:to>
      <xdr:col>9</xdr:col>
      <xdr:colOff>581025</xdr:colOff>
      <xdr:row>4</xdr:row>
      <xdr:rowOff>147638</xdr:rowOff>
    </xdr:to>
    <xdr:sp macro="" textlink="">
      <xdr:nvSpPr>
        <xdr:cNvPr id="28" name="TextBox 27"/>
        <xdr:cNvSpPr txBox="1"/>
      </xdr:nvSpPr>
      <xdr:spPr>
        <a:xfrm>
          <a:off x="4667250" y="528637"/>
          <a:ext cx="1400175"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900" b="1" baseline="0">
              <a:solidFill>
                <a:schemeClr val="tx1"/>
              </a:solidFill>
            </a:rPr>
            <a:t>Leaf Spring Broken		</a:t>
          </a:r>
          <a:endParaRPr lang="en-GB" sz="1000" b="1">
            <a:solidFill>
              <a:schemeClr val="tx1"/>
            </a:solidFill>
          </a:endParaRPr>
        </a:p>
      </xdr:txBody>
    </xdr:sp>
    <xdr:clientData/>
  </xdr:twoCellAnchor>
  <xdr:twoCellAnchor>
    <xdr:from>
      <xdr:col>8</xdr:col>
      <xdr:colOff>333376</xdr:colOff>
      <xdr:row>4</xdr:row>
      <xdr:rowOff>171450</xdr:rowOff>
    </xdr:from>
    <xdr:to>
      <xdr:col>9</xdr:col>
      <xdr:colOff>390526</xdr:colOff>
      <xdr:row>6</xdr:row>
      <xdr:rowOff>28575</xdr:rowOff>
    </xdr:to>
    <xdr:sp macro="" textlink="Pivot!D16">
      <xdr:nvSpPr>
        <xdr:cNvPr id="29" name="TextBox 28"/>
        <xdr:cNvSpPr txBox="1"/>
      </xdr:nvSpPr>
      <xdr:spPr>
        <a:xfrm>
          <a:off x="5210176" y="742950"/>
          <a:ext cx="6667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A1D882-9391-4BF4-9E4F-1022678939E6}" type="TxLink">
            <a:rPr lang="en-US" sz="1000" b="1" i="0" u="none" strike="noStrike">
              <a:solidFill>
                <a:srgbClr val="000000"/>
              </a:solidFill>
              <a:latin typeface="Calibri"/>
              <a:ea typeface="+mn-ea"/>
              <a:cs typeface="Calibri"/>
            </a:rPr>
            <a:pPr marL="0" indent="0"/>
            <a:t>88</a:t>
          </a:fld>
          <a:endParaRPr lang="en-GB" sz="1000" b="1" i="0" u="none" strike="noStrike">
            <a:solidFill>
              <a:srgbClr val="000000"/>
            </a:solidFill>
            <a:latin typeface="Calibri"/>
            <a:ea typeface="+mn-ea"/>
            <a:cs typeface="Calibri"/>
          </a:endParaRPr>
        </a:p>
      </xdr:txBody>
    </xdr:sp>
    <xdr:clientData/>
  </xdr:twoCellAnchor>
  <xdr:twoCellAnchor>
    <xdr:from>
      <xdr:col>10</xdr:col>
      <xdr:colOff>228601</xdr:colOff>
      <xdr:row>3</xdr:row>
      <xdr:rowOff>157162</xdr:rowOff>
    </xdr:from>
    <xdr:to>
      <xdr:col>11</xdr:col>
      <xdr:colOff>590551</xdr:colOff>
      <xdr:row>4</xdr:row>
      <xdr:rowOff>138113</xdr:rowOff>
    </xdr:to>
    <xdr:sp macro="" textlink="">
      <xdr:nvSpPr>
        <xdr:cNvPr id="31" name="TextBox 30"/>
        <xdr:cNvSpPr txBox="1"/>
      </xdr:nvSpPr>
      <xdr:spPr>
        <a:xfrm>
          <a:off x="6324601" y="538162"/>
          <a:ext cx="971550" cy="171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900" b="1" baseline="0">
              <a:solidFill>
                <a:schemeClr val="tx1"/>
              </a:solidFill>
            </a:rPr>
            <a:t>Avg M3/Hr.		</a:t>
          </a:r>
          <a:endParaRPr lang="en-GB" sz="1000" b="1">
            <a:solidFill>
              <a:schemeClr val="tx1"/>
            </a:solidFill>
          </a:endParaRPr>
        </a:p>
      </xdr:txBody>
    </xdr:sp>
    <xdr:clientData/>
  </xdr:twoCellAnchor>
  <xdr:twoCellAnchor>
    <xdr:from>
      <xdr:col>10</xdr:col>
      <xdr:colOff>438151</xdr:colOff>
      <xdr:row>4</xdr:row>
      <xdr:rowOff>171450</xdr:rowOff>
    </xdr:from>
    <xdr:to>
      <xdr:col>11</xdr:col>
      <xdr:colOff>495301</xdr:colOff>
      <xdr:row>6</xdr:row>
      <xdr:rowOff>28575</xdr:rowOff>
    </xdr:to>
    <xdr:sp macro="" textlink="Pivot!C16">
      <xdr:nvSpPr>
        <xdr:cNvPr id="32" name="TextBox 31"/>
        <xdr:cNvSpPr txBox="1"/>
      </xdr:nvSpPr>
      <xdr:spPr>
        <a:xfrm>
          <a:off x="6534151" y="742950"/>
          <a:ext cx="6667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CBADE86-4F65-4C94-A7C7-827FD62D39D8}" type="TxLink">
            <a:rPr lang="en-US" sz="1000" b="1" i="0" u="none" strike="noStrike">
              <a:solidFill>
                <a:srgbClr val="000000"/>
              </a:solidFill>
              <a:latin typeface="Calibri"/>
              <a:ea typeface="+mn-ea"/>
              <a:cs typeface="Calibri"/>
            </a:rPr>
            <a:pPr marL="0" indent="0"/>
            <a:t>188.77</a:t>
          </a:fld>
          <a:endParaRPr lang="en-GB" sz="1000" b="1" i="0" u="none" strike="noStrike">
            <a:solidFill>
              <a:srgbClr val="000000"/>
            </a:solidFill>
            <a:latin typeface="Calibri"/>
            <a:ea typeface="+mn-ea"/>
            <a:cs typeface="Calibri"/>
          </a:endParaRPr>
        </a:p>
      </xdr:txBody>
    </xdr:sp>
    <xdr:clientData/>
  </xdr:twoCellAnchor>
  <xdr:twoCellAnchor>
    <xdr:from>
      <xdr:col>12</xdr:col>
      <xdr:colOff>419101</xdr:colOff>
      <xdr:row>3</xdr:row>
      <xdr:rowOff>157162</xdr:rowOff>
    </xdr:from>
    <xdr:to>
      <xdr:col>14</xdr:col>
      <xdr:colOff>171451</xdr:colOff>
      <xdr:row>4</xdr:row>
      <xdr:rowOff>138113</xdr:rowOff>
    </xdr:to>
    <xdr:sp macro="" textlink="">
      <xdr:nvSpPr>
        <xdr:cNvPr id="33" name="TextBox 32"/>
        <xdr:cNvSpPr txBox="1"/>
      </xdr:nvSpPr>
      <xdr:spPr>
        <a:xfrm>
          <a:off x="7734301" y="538162"/>
          <a:ext cx="971550" cy="171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900" b="1" baseline="0">
              <a:solidFill>
                <a:schemeClr val="tx1"/>
              </a:solidFill>
            </a:rPr>
            <a:t>Avg Trip/Hr.		</a:t>
          </a:r>
          <a:endParaRPr lang="en-GB" sz="1000" b="1">
            <a:solidFill>
              <a:schemeClr val="tx1"/>
            </a:solidFill>
          </a:endParaRPr>
        </a:p>
      </xdr:txBody>
    </xdr:sp>
    <xdr:clientData/>
  </xdr:twoCellAnchor>
  <xdr:twoCellAnchor>
    <xdr:from>
      <xdr:col>13</xdr:col>
      <xdr:colOff>47626</xdr:colOff>
      <xdr:row>4</xdr:row>
      <xdr:rowOff>171450</xdr:rowOff>
    </xdr:from>
    <xdr:to>
      <xdr:col>14</xdr:col>
      <xdr:colOff>104776</xdr:colOff>
      <xdr:row>6</xdr:row>
      <xdr:rowOff>28575</xdr:rowOff>
    </xdr:to>
    <xdr:sp macro="" textlink="Pivot!B16">
      <xdr:nvSpPr>
        <xdr:cNvPr id="34" name="TextBox 33"/>
        <xdr:cNvSpPr txBox="1"/>
      </xdr:nvSpPr>
      <xdr:spPr>
        <a:xfrm>
          <a:off x="7972426" y="742950"/>
          <a:ext cx="6667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894212B-7AA0-42F4-B22E-6DEF5A5EB3C3}" type="TxLink">
            <a:rPr lang="en-US" sz="1000" b="1" i="0" u="none" strike="noStrike">
              <a:solidFill>
                <a:srgbClr val="000000"/>
              </a:solidFill>
              <a:latin typeface="Calibri"/>
              <a:ea typeface="+mn-ea"/>
              <a:cs typeface="Calibri"/>
            </a:rPr>
            <a:pPr marL="0" indent="0"/>
            <a:t>12.02</a:t>
          </a:fld>
          <a:endParaRPr lang="en-GB" sz="1000" b="1" i="0" u="none" strike="noStrike">
            <a:solidFill>
              <a:srgbClr val="000000"/>
            </a:solidFill>
            <a:latin typeface="Calibri"/>
            <a:ea typeface="+mn-ea"/>
            <a:cs typeface="Calibri"/>
          </a:endParaRPr>
        </a:p>
      </xdr:txBody>
    </xdr:sp>
    <xdr:clientData/>
  </xdr:twoCellAnchor>
  <xdr:twoCellAnchor>
    <xdr:from>
      <xdr:col>2</xdr:col>
      <xdr:colOff>400049</xdr:colOff>
      <xdr:row>7</xdr:row>
      <xdr:rowOff>76200</xdr:rowOff>
    </xdr:from>
    <xdr:to>
      <xdr:col>6</xdr:col>
      <xdr:colOff>66675</xdr:colOff>
      <xdr:row>15</xdr:row>
      <xdr:rowOff>95250</xdr:rowOff>
    </xdr:to>
    <xdr:sp macro="" textlink="">
      <xdr:nvSpPr>
        <xdr:cNvPr id="3" name="Rounded Rectangle 2"/>
        <xdr:cNvSpPr/>
      </xdr:nvSpPr>
      <xdr:spPr>
        <a:xfrm>
          <a:off x="1619249" y="1219200"/>
          <a:ext cx="2105026" cy="1543050"/>
        </a:xfrm>
        <a:prstGeom prst="roundRect">
          <a:avLst/>
        </a:prstGeom>
        <a:noFill/>
        <a:ln>
          <a:solidFill>
            <a:schemeClr val="bg1"/>
          </a:solidFill>
        </a:ln>
        <a:effectLst>
          <a:outerShdw blurRad="50800" dist="50800" dir="5400000" algn="ctr" rotWithShape="0">
            <a:schemeClr val="bg1">
              <a:alpha val="99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323850</xdr:colOff>
      <xdr:row>8</xdr:row>
      <xdr:rowOff>47625</xdr:rowOff>
    </xdr:from>
    <xdr:to>
      <xdr:col>6</xdr:col>
      <xdr:colOff>85725</xdr:colOff>
      <xdr:row>15</xdr:row>
      <xdr:rowOff>128588</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190499</xdr:colOff>
      <xdr:row>7</xdr:row>
      <xdr:rowOff>76200</xdr:rowOff>
    </xdr:from>
    <xdr:to>
      <xdr:col>10</xdr:col>
      <xdr:colOff>523875</xdr:colOff>
      <xdr:row>15</xdr:row>
      <xdr:rowOff>95250</xdr:rowOff>
    </xdr:to>
    <xdr:sp macro="" textlink="">
      <xdr:nvSpPr>
        <xdr:cNvPr id="22" name="Rounded Rectangle 21"/>
        <xdr:cNvSpPr/>
      </xdr:nvSpPr>
      <xdr:spPr>
        <a:xfrm>
          <a:off x="3848099" y="1219200"/>
          <a:ext cx="2771776" cy="1543050"/>
        </a:xfrm>
        <a:prstGeom prst="roundRect">
          <a:avLst/>
        </a:prstGeom>
        <a:noFill/>
        <a:ln>
          <a:solidFill>
            <a:schemeClr val="bg1"/>
          </a:solidFill>
        </a:ln>
        <a:effectLst>
          <a:outerShdw blurRad="50800" dist="50800" dir="5400000" algn="ctr" rotWithShape="0">
            <a:schemeClr val="bg1">
              <a:alpha val="99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219075</xdr:colOff>
      <xdr:row>8</xdr:row>
      <xdr:rowOff>104775</xdr:rowOff>
    </xdr:from>
    <xdr:to>
      <xdr:col>10</xdr:col>
      <xdr:colOff>466726</xdr:colOff>
      <xdr:row>15</xdr:row>
      <xdr:rowOff>47625</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581025</xdr:colOff>
      <xdr:row>7</xdr:row>
      <xdr:rowOff>119061</xdr:rowOff>
    </xdr:from>
    <xdr:to>
      <xdr:col>5</xdr:col>
      <xdr:colOff>590550</xdr:colOff>
      <xdr:row>8</xdr:row>
      <xdr:rowOff>109537</xdr:rowOff>
    </xdr:to>
    <xdr:sp macro="" textlink="">
      <xdr:nvSpPr>
        <xdr:cNvPr id="36" name="TextBox 35"/>
        <xdr:cNvSpPr txBox="1"/>
      </xdr:nvSpPr>
      <xdr:spPr>
        <a:xfrm>
          <a:off x="1800225" y="1262061"/>
          <a:ext cx="1838325" cy="180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900" b="1">
              <a:solidFill>
                <a:schemeClr val="tx1"/>
              </a:solidFill>
            </a:rPr>
            <a:t>Avg</a:t>
          </a:r>
          <a:r>
            <a:rPr lang="en-GB" sz="900" b="1" baseline="0">
              <a:solidFill>
                <a:schemeClr val="tx1"/>
              </a:solidFill>
            </a:rPr>
            <a:t> Quantity Shift Incharge Wise</a:t>
          </a:r>
          <a:endParaRPr lang="en-GB" sz="1000" b="1">
            <a:solidFill>
              <a:schemeClr val="tx1"/>
            </a:solidFill>
          </a:endParaRPr>
        </a:p>
      </xdr:txBody>
    </xdr:sp>
    <xdr:clientData/>
  </xdr:twoCellAnchor>
  <xdr:twoCellAnchor>
    <xdr:from>
      <xdr:col>7</xdr:col>
      <xdr:colOff>95250</xdr:colOff>
      <xdr:row>7</xdr:row>
      <xdr:rowOff>109536</xdr:rowOff>
    </xdr:from>
    <xdr:to>
      <xdr:col>10</xdr:col>
      <xdr:colOff>104775</xdr:colOff>
      <xdr:row>8</xdr:row>
      <xdr:rowOff>119062</xdr:rowOff>
    </xdr:to>
    <xdr:sp macro="" textlink="">
      <xdr:nvSpPr>
        <xdr:cNvPr id="37" name="TextBox 36"/>
        <xdr:cNvSpPr txBox="1"/>
      </xdr:nvSpPr>
      <xdr:spPr>
        <a:xfrm>
          <a:off x="4362450" y="1252536"/>
          <a:ext cx="1838325"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900" b="1">
              <a:solidFill>
                <a:schemeClr val="tx1"/>
              </a:solidFill>
            </a:rPr>
            <a:t>Total</a:t>
          </a:r>
          <a:r>
            <a:rPr lang="en-GB" sz="900" b="1" baseline="0">
              <a:solidFill>
                <a:schemeClr val="tx1"/>
              </a:solidFill>
            </a:rPr>
            <a:t> </a:t>
          </a:r>
          <a:r>
            <a:rPr lang="en-GB" sz="1000" b="1" baseline="0">
              <a:solidFill>
                <a:schemeClr val="tx1"/>
              </a:solidFill>
            </a:rPr>
            <a:t>Trip Shift Incharge Wise</a:t>
          </a:r>
          <a:endParaRPr lang="en-GB" sz="1000" b="1">
            <a:solidFill>
              <a:schemeClr val="tx1"/>
            </a:solidFill>
          </a:endParaRPr>
        </a:p>
      </xdr:txBody>
    </xdr:sp>
    <xdr:clientData/>
  </xdr:twoCellAnchor>
  <xdr:twoCellAnchor>
    <xdr:from>
      <xdr:col>11</xdr:col>
      <xdr:colOff>38099</xdr:colOff>
      <xdr:row>7</xdr:row>
      <xdr:rowOff>85725</xdr:rowOff>
    </xdr:from>
    <xdr:to>
      <xdr:col>14</xdr:col>
      <xdr:colOff>333375</xdr:colOff>
      <xdr:row>15</xdr:row>
      <xdr:rowOff>104775</xdr:rowOff>
    </xdr:to>
    <xdr:sp macro="" textlink="">
      <xdr:nvSpPr>
        <xdr:cNvPr id="38" name="Rounded Rectangle 37"/>
        <xdr:cNvSpPr/>
      </xdr:nvSpPr>
      <xdr:spPr>
        <a:xfrm>
          <a:off x="6743699" y="1228725"/>
          <a:ext cx="2124076" cy="1543050"/>
        </a:xfrm>
        <a:prstGeom prst="roundRect">
          <a:avLst/>
        </a:prstGeom>
        <a:noFill/>
        <a:ln>
          <a:solidFill>
            <a:schemeClr val="bg1"/>
          </a:solidFill>
        </a:ln>
        <a:effectLst>
          <a:outerShdw blurRad="50800" dist="50800" dir="5400000" algn="ctr" rotWithShape="0">
            <a:schemeClr val="bg1">
              <a:alpha val="99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xdr:colOff>
      <xdr:row>8</xdr:row>
      <xdr:rowOff>95250</xdr:rowOff>
    </xdr:from>
    <xdr:to>
      <xdr:col>14</xdr:col>
      <xdr:colOff>314325</xdr:colOff>
      <xdr:row>15</xdr:row>
      <xdr:rowOff>76199</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190500</xdr:colOff>
      <xdr:row>7</xdr:row>
      <xdr:rowOff>133349</xdr:rowOff>
    </xdr:from>
    <xdr:to>
      <xdr:col>14</xdr:col>
      <xdr:colOff>295275</xdr:colOff>
      <xdr:row>8</xdr:row>
      <xdr:rowOff>95250</xdr:rowOff>
    </xdr:to>
    <xdr:sp macro="" textlink="">
      <xdr:nvSpPr>
        <xdr:cNvPr id="40" name="TextBox 39"/>
        <xdr:cNvSpPr txBox="1"/>
      </xdr:nvSpPr>
      <xdr:spPr>
        <a:xfrm>
          <a:off x="6896100" y="1276349"/>
          <a:ext cx="1933575" cy="152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00" b="1">
              <a:solidFill>
                <a:schemeClr val="tx1"/>
              </a:solidFill>
            </a:rPr>
            <a:t>Total Leaf Spring Broken</a:t>
          </a:r>
        </a:p>
      </xdr:txBody>
    </xdr:sp>
    <xdr:clientData/>
  </xdr:twoCellAnchor>
  <xdr:twoCellAnchor>
    <xdr:from>
      <xdr:col>2</xdr:col>
      <xdr:colOff>400048</xdr:colOff>
      <xdr:row>15</xdr:row>
      <xdr:rowOff>161925</xdr:rowOff>
    </xdr:from>
    <xdr:to>
      <xdr:col>9</xdr:col>
      <xdr:colOff>76199</xdr:colOff>
      <xdr:row>23</xdr:row>
      <xdr:rowOff>66675</xdr:rowOff>
    </xdr:to>
    <xdr:sp macro="" textlink="">
      <xdr:nvSpPr>
        <xdr:cNvPr id="30" name="Rounded Rectangle 29"/>
        <xdr:cNvSpPr/>
      </xdr:nvSpPr>
      <xdr:spPr>
        <a:xfrm>
          <a:off x="1619248" y="2828925"/>
          <a:ext cx="3943351" cy="1428750"/>
        </a:xfrm>
        <a:prstGeom prst="roundRect">
          <a:avLst/>
        </a:prstGeom>
        <a:noFill/>
        <a:ln>
          <a:solidFill>
            <a:schemeClr val="bg1"/>
          </a:solidFill>
        </a:ln>
        <a:effectLst>
          <a:outerShdw blurRad="50800" dist="50800" dir="5400000" algn="ctr" rotWithShape="0">
            <a:schemeClr val="bg1">
              <a:alpha val="99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533400</xdr:colOff>
      <xdr:row>16</xdr:row>
      <xdr:rowOff>57151</xdr:rowOff>
    </xdr:from>
    <xdr:to>
      <xdr:col>8</xdr:col>
      <xdr:colOff>590550</xdr:colOff>
      <xdr:row>23</xdr:row>
      <xdr:rowOff>38101</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476250</xdr:colOff>
      <xdr:row>16</xdr:row>
      <xdr:rowOff>19049</xdr:rowOff>
    </xdr:from>
    <xdr:to>
      <xdr:col>5</xdr:col>
      <xdr:colOff>485775</xdr:colOff>
      <xdr:row>17</xdr:row>
      <xdr:rowOff>9525</xdr:rowOff>
    </xdr:to>
    <xdr:sp macro="" textlink="">
      <xdr:nvSpPr>
        <xdr:cNvPr id="42" name="TextBox 41"/>
        <xdr:cNvSpPr txBox="1"/>
      </xdr:nvSpPr>
      <xdr:spPr>
        <a:xfrm>
          <a:off x="1695450" y="2876549"/>
          <a:ext cx="1838325" cy="180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900" b="1">
              <a:solidFill>
                <a:schemeClr val="tx1"/>
              </a:solidFill>
            </a:rPr>
            <a:t>Prod</a:t>
          </a:r>
          <a:r>
            <a:rPr lang="en-GB" sz="900" b="1" baseline="0">
              <a:solidFill>
                <a:schemeClr val="tx1"/>
              </a:solidFill>
            </a:rPr>
            <a:t> Trip/Hrs Shift Incharge Wise</a:t>
          </a:r>
          <a:endParaRPr lang="en-GB" sz="1000" b="1">
            <a:solidFill>
              <a:schemeClr val="tx1"/>
            </a:solidFill>
          </a:endParaRPr>
        </a:p>
      </xdr:txBody>
    </xdr:sp>
    <xdr:clientData/>
  </xdr:twoCellAnchor>
  <xdr:twoCellAnchor>
    <xdr:from>
      <xdr:col>9</xdr:col>
      <xdr:colOff>190498</xdr:colOff>
      <xdr:row>15</xdr:row>
      <xdr:rowOff>171450</xdr:rowOff>
    </xdr:from>
    <xdr:to>
      <xdr:col>14</xdr:col>
      <xdr:colOff>323850</xdr:colOff>
      <xdr:row>23</xdr:row>
      <xdr:rowOff>66675</xdr:rowOff>
    </xdr:to>
    <xdr:sp macro="" textlink="">
      <xdr:nvSpPr>
        <xdr:cNvPr id="43" name="Rounded Rectangle 42"/>
        <xdr:cNvSpPr/>
      </xdr:nvSpPr>
      <xdr:spPr>
        <a:xfrm>
          <a:off x="5676898" y="2838450"/>
          <a:ext cx="3181352" cy="1419225"/>
        </a:xfrm>
        <a:prstGeom prst="roundRect">
          <a:avLst/>
        </a:prstGeom>
        <a:noFill/>
        <a:ln>
          <a:solidFill>
            <a:schemeClr val="bg1"/>
          </a:solidFill>
        </a:ln>
        <a:effectLst>
          <a:outerShdw blurRad="50800" dist="50800" dir="5400000" algn="ctr" rotWithShape="0">
            <a:schemeClr val="bg1">
              <a:alpha val="99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238126</xdr:colOff>
      <xdr:row>16</xdr:row>
      <xdr:rowOff>9526</xdr:rowOff>
    </xdr:from>
    <xdr:to>
      <xdr:col>14</xdr:col>
      <xdr:colOff>285750</xdr:colOff>
      <xdr:row>23</xdr:row>
      <xdr:rowOff>95250</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257175</xdr:colOff>
      <xdr:row>16</xdr:row>
      <xdr:rowOff>28574</xdr:rowOff>
    </xdr:from>
    <xdr:to>
      <xdr:col>12</xdr:col>
      <xdr:colOff>171450</xdr:colOff>
      <xdr:row>16</xdr:row>
      <xdr:rowOff>171450</xdr:rowOff>
    </xdr:to>
    <xdr:sp macro="" textlink="">
      <xdr:nvSpPr>
        <xdr:cNvPr id="45" name="TextBox 44"/>
        <xdr:cNvSpPr txBox="1"/>
      </xdr:nvSpPr>
      <xdr:spPr>
        <a:xfrm>
          <a:off x="5743575" y="2886074"/>
          <a:ext cx="1743075" cy="142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900" b="1">
              <a:solidFill>
                <a:schemeClr val="tx1"/>
              </a:solidFill>
            </a:rPr>
            <a:t>Prod</a:t>
          </a:r>
          <a:r>
            <a:rPr lang="en-GB" sz="900" b="1" baseline="0">
              <a:solidFill>
                <a:schemeClr val="tx1"/>
              </a:solidFill>
            </a:rPr>
            <a:t> M3/Hrs Shift Incharge Wise</a:t>
          </a:r>
          <a:endParaRPr lang="en-GB" sz="1000" b="1">
            <a:solidFill>
              <a:schemeClr val="tx1"/>
            </a:solidFill>
          </a:endParaRPr>
        </a:p>
      </xdr:txBody>
    </xdr:sp>
    <xdr:clientData/>
  </xdr:twoCellAnchor>
  <xdr:twoCellAnchor>
    <xdr:from>
      <xdr:col>0</xdr:col>
      <xdr:colOff>561974</xdr:colOff>
      <xdr:row>4</xdr:row>
      <xdr:rowOff>0</xdr:rowOff>
    </xdr:from>
    <xdr:to>
      <xdr:col>2</xdr:col>
      <xdr:colOff>228599</xdr:colOff>
      <xdr:row>6</xdr:row>
      <xdr:rowOff>38100</xdr:rowOff>
    </xdr:to>
    <xdr:sp macro="" textlink="">
      <xdr:nvSpPr>
        <xdr:cNvPr id="8" name="Rounded Rectangle 7"/>
        <xdr:cNvSpPr/>
      </xdr:nvSpPr>
      <xdr:spPr>
        <a:xfrm>
          <a:off x="561974" y="571500"/>
          <a:ext cx="885825" cy="419100"/>
        </a:xfrm>
        <a:prstGeom prst="roundRect">
          <a:avLst/>
        </a:prstGeom>
        <a:solidFill>
          <a:srgbClr val="5044A6"/>
        </a:solidFill>
        <a:ln>
          <a:solidFill>
            <a:srgbClr val="DEBE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600074</xdr:colOff>
      <xdr:row>4</xdr:row>
      <xdr:rowOff>38100</xdr:rowOff>
    </xdr:from>
    <xdr:to>
      <xdr:col>2</xdr:col>
      <xdr:colOff>190500</xdr:colOff>
      <xdr:row>5</xdr:row>
      <xdr:rowOff>152400</xdr:rowOff>
    </xdr:to>
    <xdr:sp macro="" textlink="">
      <xdr:nvSpPr>
        <xdr:cNvPr id="13" name="TextBox 12"/>
        <xdr:cNvSpPr txBox="1"/>
      </xdr:nvSpPr>
      <xdr:spPr>
        <a:xfrm>
          <a:off x="600074" y="609600"/>
          <a:ext cx="809626"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solidFill>
                <a:srgbClr val="94F862"/>
              </a:solidFill>
            </a:rPr>
            <a:t>KOCM</a:t>
          </a:r>
        </a:p>
      </xdr:txBody>
    </xdr:sp>
    <xdr:clientData/>
  </xdr:twoCellAnchor>
  <xdr:twoCellAnchor editAs="oneCell">
    <xdr:from>
      <xdr:col>0</xdr:col>
      <xdr:colOff>542926</xdr:colOff>
      <xdr:row>6</xdr:row>
      <xdr:rowOff>66676</xdr:rowOff>
    </xdr:from>
    <xdr:to>
      <xdr:col>2</xdr:col>
      <xdr:colOff>200025</xdr:colOff>
      <xdr:row>12</xdr:row>
      <xdr:rowOff>57150</xdr:rowOff>
    </xdr:to>
    <mc:AlternateContent xmlns:mc="http://schemas.openxmlformats.org/markup-compatibility/2006" xmlns:a14="http://schemas.microsoft.com/office/drawing/2010/main">
      <mc:Choice Requires="a14">
        <xdr:graphicFrame macro="">
          <xdr:nvGraphicFramePr>
            <xdr:cNvPr id="46" name="In-Charge Name"/>
            <xdr:cNvGraphicFramePr/>
          </xdr:nvGraphicFramePr>
          <xdr:xfrm>
            <a:off x="0" y="0"/>
            <a:ext cx="0" cy="0"/>
          </xdr:xfrm>
          <a:graphic>
            <a:graphicData uri="http://schemas.microsoft.com/office/drawing/2010/slicer">
              <sle:slicer xmlns:sle="http://schemas.microsoft.com/office/drawing/2010/slicer" name="In-Charge Name"/>
            </a:graphicData>
          </a:graphic>
        </xdr:graphicFrame>
      </mc:Choice>
      <mc:Fallback xmlns="">
        <xdr:sp macro="" textlink="">
          <xdr:nvSpPr>
            <xdr:cNvPr id="0" name=""/>
            <xdr:cNvSpPr>
              <a:spLocks noTextEdit="1"/>
            </xdr:cNvSpPr>
          </xdr:nvSpPr>
          <xdr:spPr>
            <a:xfrm>
              <a:off x="542926" y="1066801"/>
              <a:ext cx="876299" cy="11334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VI" refreshedDate="46184.668977546295" createdVersion="5" refreshedVersion="5" minRefreshableVersion="3" recordCount="3">
  <cacheSource type="worksheet">
    <worksheetSource ref="D6:O9" sheet="DATA"/>
  </cacheSource>
  <cacheFields count="12">
    <cacheField name="Shift In-Charge Name" numFmtId="0">
      <sharedItems count="6">
        <s v="AMAN"/>
        <s v="RISHI"/>
        <s v="RAHUL"/>
        <s v="VIKASH GIRI" u="1"/>
        <s v="AMAN PANDEY" u="1"/>
        <s v="SURYANSH SINGH PARIHAR" u="1"/>
      </sharedItems>
    </cacheField>
    <cacheField name="RELAY" numFmtId="167">
      <sharedItems/>
    </cacheField>
    <cacheField name="Wr. Hrs." numFmtId="167">
      <sharedItems containsSemiMixedTypes="0" containsString="0" containsNumber="1" minValue="876.39999999999986" maxValue="912.99999999999989"/>
    </cacheField>
    <cacheField name="Prod. Used Hrs." numFmtId="167">
      <sharedItems containsSemiMixedTypes="0" containsString="0" containsNumber="1" minValue="786.29999999999984" maxValue="799.90000000000009"/>
    </cacheField>
    <cacheField name="VOLO_x000a_Trip" numFmtId="166">
      <sharedItems containsSemiMixedTypes="0" containsString="0" containsNumber="1" containsInteger="1" minValue="6372" maxValue="6947"/>
    </cacheField>
    <cacheField name="EICHER_x000a_Trip" numFmtId="166">
      <sharedItems containsSemiMixedTypes="0" containsString="0" containsNumber="1" containsInteger="1" minValue="2784" maxValue="2931"/>
    </cacheField>
    <cacheField name="Total Trip" numFmtId="166">
      <sharedItems containsSemiMixedTypes="0" containsString="0" containsNumber="1" containsInteger="1" minValue="9156" maxValue="9878"/>
    </cacheField>
    <cacheField name="Approx Prod. Worked Qnty (M3)" numFmtId="43">
      <sharedItems containsSemiMixedTypes="0" containsString="0" containsNumber="1" containsInteger="1" minValue="143712" maxValue="155117"/>
    </cacheField>
    <cacheField name="VOLVO FMX 460" numFmtId="2">
      <sharedItems containsSemiMixedTypes="0" containsString="0" containsNumber="1" minValue="0.61587067931523176" maxValue="0.63809188935772199"/>
    </cacheField>
    <cacheField name="Prod Trip/Hrs" numFmtId="165">
      <sharedItems containsSemiMixedTypes="0" containsString="0" containsNumber="1" minValue="11.641449459631277" maxValue="12.562635126542034"/>
    </cacheField>
    <cacheField name="Prod. M3 / Hr." numFmtId="165">
      <sharedItems containsSemiMixedTypes="0" containsString="0" containsNumber="1" minValue="182.72345835982196" maxValue="197.27457713340968"/>
    </cacheField>
    <cacheField name="Leaf Spring_x000a_Broken" numFmtId="166">
      <sharedItems containsSemiMixedTypes="0" containsString="0" containsNumber="1" containsInteger="1" minValue="21" maxValue="3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
  <r>
    <x v="0"/>
    <s v="A"/>
    <n v="876.39999999999986"/>
    <n v="786.50000000000011"/>
    <n v="6372"/>
    <n v="2784"/>
    <n v="9156"/>
    <n v="143712"/>
    <n v="0.63809188935772199"/>
    <n v="11.641449459631277"/>
    <n v="182.72345835982196"/>
    <n v="21"/>
  </r>
  <r>
    <x v="1"/>
    <s v="B"/>
    <n v="912.99999999999989"/>
    <n v="799.90000000000009"/>
    <n v="6673"/>
    <n v="2817"/>
    <n v="9490"/>
    <n v="149023"/>
    <n v="0.61587067931523176"/>
    <n v="11.863982997874732"/>
    <n v="186.30203775471932"/>
    <n v="37"/>
  </r>
  <r>
    <x v="2"/>
    <s v="C"/>
    <n v="891.49999999999932"/>
    <n v="786.29999999999984"/>
    <n v="6947"/>
    <n v="2931"/>
    <n v="9878"/>
    <n v="155117"/>
    <n v="0.62286163692573904"/>
    <n v="12.562635126542034"/>
    <n v="197.27457713340968"/>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4">
  <location ref="A37:B41" firstHeaderRow="1" firstDataRow="1" firstDataCol="1"/>
  <pivotFields count="12">
    <pivotField axis="axisRow" showAll="0">
      <items count="7">
        <item m="1" x="3"/>
        <item m="1" x="5"/>
        <item m="1" x="4"/>
        <item x="0"/>
        <item x="1"/>
        <item x="2"/>
        <item t="default"/>
      </items>
    </pivotField>
    <pivotField showAll="0"/>
    <pivotField numFmtId="167" showAll="0"/>
    <pivotField numFmtId="167" showAll="0"/>
    <pivotField numFmtId="166" showAll="0"/>
    <pivotField numFmtId="166" showAll="0"/>
    <pivotField numFmtId="166" showAll="0"/>
    <pivotField numFmtId="43" showAll="0"/>
    <pivotField numFmtId="2" showAll="0"/>
    <pivotField dataField="1" numFmtId="165" showAll="0"/>
    <pivotField numFmtId="165" showAll="0"/>
    <pivotField numFmtId="166" showAll="0"/>
  </pivotFields>
  <rowFields count="1">
    <field x="0"/>
  </rowFields>
  <rowItems count="4">
    <i>
      <x v="3"/>
    </i>
    <i>
      <x v="4"/>
    </i>
    <i>
      <x v="5"/>
    </i>
    <i t="grand">
      <x/>
    </i>
  </rowItems>
  <colItems count="1">
    <i/>
  </colItems>
  <dataFields count="1">
    <dataField name="Sum of Prod Trip/Hrs" fld="9" baseField="0" baseItem="0"/>
  </dataFields>
  <formats count="8">
    <format dxfId="118">
      <pivotArea type="all" dataOnly="0" outline="0" fieldPosition="0"/>
    </format>
    <format dxfId="117">
      <pivotArea collapsedLevelsAreSubtotals="1" fieldPosition="0">
        <references count="1">
          <reference field="0" count="0"/>
        </references>
      </pivotArea>
    </format>
    <format dxfId="116">
      <pivotArea type="all" dataOnly="0" outline="0" fieldPosition="0"/>
    </format>
    <format dxfId="115">
      <pivotArea outline="0" collapsedLevelsAreSubtotals="1" fieldPosition="0"/>
    </format>
    <format dxfId="114">
      <pivotArea field="0" type="button" dataOnly="0" labelOnly="1" outline="0" axis="axisRow" fieldPosition="0"/>
    </format>
    <format dxfId="113">
      <pivotArea dataOnly="0" labelOnly="1" outline="0" axis="axisValues" fieldPosition="0"/>
    </format>
    <format dxfId="112">
      <pivotArea dataOnly="0" labelOnly="1" fieldPosition="0">
        <references count="1">
          <reference field="0" count="0"/>
        </references>
      </pivotArea>
    </format>
    <format dxfId="111">
      <pivotArea dataOnly="0" labelOnly="1" grandRow="1" outline="0" fieldPosition="0"/>
    </format>
  </formats>
  <chartFormats count="8">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0" count="1" selected="0">
            <x v="0"/>
          </reference>
        </references>
      </pivotArea>
    </chartFormat>
    <chartFormat chart="23" format="4">
      <pivotArea type="data" outline="0" fieldPosition="0">
        <references count="2">
          <reference field="4294967294" count="1" selected="0">
            <x v="0"/>
          </reference>
          <reference field="0" count="1" selected="0">
            <x v="2"/>
          </reference>
        </references>
      </pivotArea>
    </chartFormat>
    <chartFormat chart="23" format="5">
      <pivotArea type="data" outline="0" fieldPosition="0">
        <references count="2">
          <reference field="4294967294" count="1" selected="0">
            <x v="0"/>
          </reference>
          <reference field="0" count="1" selected="0">
            <x v="1"/>
          </reference>
        </references>
      </pivotArea>
    </chartFormat>
    <chartFormat chart="23" format="6">
      <pivotArea type="data" outline="0" fieldPosition="0">
        <references count="2">
          <reference field="4294967294" count="1" selected="0">
            <x v="0"/>
          </reference>
          <reference field="0" count="1" selected="0">
            <x v="3"/>
          </reference>
        </references>
      </pivotArea>
    </chartFormat>
    <chartFormat chart="23" format="7">
      <pivotArea type="data" outline="0" fieldPosition="0">
        <references count="2">
          <reference field="4294967294" count="1" selected="0">
            <x v="0"/>
          </reference>
          <reference field="0" count="1" selected="0">
            <x v="4"/>
          </reference>
        </references>
      </pivotArea>
    </chartFormat>
    <chartFormat chart="23" format="8">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3:E14" firstHeaderRow="0" firstDataRow="1" firstDataCol="0"/>
  <pivotFields count="12">
    <pivotField showAll="0">
      <items count="7">
        <item x="0"/>
        <item m="1" x="4"/>
        <item x="2"/>
        <item x="1"/>
        <item m="1" x="5"/>
        <item m="1" x="3"/>
        <item t="default"/>
      </items>
    </pivotField>
    <pivotField showAll="0"/>
    <pivotField numFmtId="167" showAll="0"/>
    <pivotField numFmtId="167" showAll="0"/>
    <pivotField numFmtId="166" showAll="0"/>
    <pivotField numFmtId="166" showAll="0"/>
    <pivotField dataField="1" numFmtId="166" showAll="0"/>
    <pivotField dataField="1" numFmtId="43" showAll="0"/>
    <pivotField numFmtId="2" showAll="0"/>
    <pivotField dataField="1" numFmtId="165" showAll="0"/>
    <pivotField dataField="1" numFmtId="165" showAll="0"/>
    <pivotField dataField="1" numFmtId="166" showAll="0"/>
  </pivotFields>
  <rowItems count="1">
    <i/>
  </rowItems>
  <colFields count="1">
    <field x="-2"/>
  </colFields>
  <colItems count="5">
    <i>
      <x/>
    </i>
    <i i="1">
      <x v="1"/>
    </i>
    <i i="2">
      <x v="2"/>
    </i>
    <i i="3">
      <x v="3"/>
    </i>
    <i i="4">
      <x v="4"/>
    </i>
  </colItems>
  <dataFields count="5">
    <dataField name="Sum of Approx Prod. Worked Qnty (M3)" fld="7" baseField="0" baseItem="0"/>
    <dataField name="Average of Prod Trip/Hrs" fld="9" subtotal="average" baseField="0" baseItem="1"/>
    <dataField name="Average of Prod. M3 / Hr." fld="10" subtotal="average" baseField="0" baseItem="1"/>
    <dataField name="Sum of Leaf Spring_x000a_Broken" fld="11" baseField="0" baseItem="0"/>
    <dataField name="Sum of Total Trip" fld="6" baseField="0" baseItem="0"/>
  </dataFields>
  <formats count="3">
    <format dxfId="121">
      <pivotArea type="all" dataOnly="0" outline="0" fieldPosition="0"/>
    </format>
    <format dxfId="120">
      <pivotArea outline="0" collapsedLevelsAreSubtotals="1" fieldPosition="0"/>
    </format>
    <format dxfId="119">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7" firstHeaderRow="1" firstDataRow="1" firstDataCol="1"/>
  <pivotFields count="12">
    <pivotField axis="axisRow" showAll="0">
      <items count="7">
        <item m="1" x="4"/>
        <item m="1" x="5"/>
        <item m="1" x="3"/>
        <item x="0"/>
        <item x="1"/>
        <item x="2"/>
        <item t="default"/>
      </items>
    </pivotField>
    <pivotField showAll="0"/>
    <pivotField numFmtId="167" showAll="0"/>
    <pivotField numFmtId="167" showAll="0"/>
    <pivotField numFmtId="166" showAll="0"/>
    <pivotField numFmtId="166" showAll="0"/>
    <pivotField numFmtId="166" showAll="0"/>
    <pivotField dataField="1" numFmtId="43" showAll="0"/>
    <pivotField numFmtId="2" showAll="0"/>
    <pivotField numFmtId="165" showAll="0"/>
    <pivotField numFmtId="165" showAll="0"/>
    <pivotField numFmtId="166" showAll="0"/>
  </pivotFields>
  <rowFields count="1">
    <field x="0"/>
  </rowFields>
  <rowItems count="4">
    <i>
      <x v="3"/>
    </i>
    <i>
      <x v="4"/>
    </i>
    <i>
      <x v="5"/>
    </i>
    <i t="grand">
      <x/>
    </i>
  </rowItems>
  <colItems count="1">
    <i/>
  </colItems>
  <dataFields count="1">
    <dataField name="Average of Approx Prod. Worked Qnty (M3)" fld="7" subtotal="average" baseField="0" baseItem="0"/>
  </dataFields>
  <formats count="6">
    <format dxfId="127">
      <pivotArea type="all" dataOnly="0" outline="0" fieldPosition="0"/>
    </format>
    <format dxfId="126">
      <pivotArea outline="0" collapsedLevelsAreSubtotals="1" fieldPosition="0"/>
    </format>
    <format dxfId="125">
      <pivotArea field="0" type="button" dataOnly="0" labelOnly="1" outline="0" axis="axisRow" fieldPosition="0"/>
    </format>
    <format dxfId="124">
      <pivotArea dataOnly="0" labelOnly="1" outline="0" axis="axisValues" fieldPosition="0"/>
    </format>
    <format dxfId="123">
      <pivotArea dataOnly="0" labelOnly="1" fieldPosition="0">
        <references count="1">
          <reference field="0" count="0"/>
        </references>
      </pivotArea>
    </format>
    <format dxfId="122">
      <pivotArea dataOnly="0" labelOnly="1" grandRow="1" outline="0"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3" format="12">
      <pivotArea type="data" outline="0" fieldPosition="0">
        <references count="2">
          <reference field="4294967294" count="1" selected="0">
            <x v="0"/>
          </reference>
          <reference field="0" count="1" selected="0">
            <x v="3"/>
          </reference>
        </references>
      </pivotArea>
    </chartFormat>
    <chartFormat chart="3" format="13">
      <pivotArea type="data" outline="0" fieldPosition="0">
        <references count="2">
          <reference field="4294967294" count="1" selected="0">
            <x v="0"/>
          </reference>
          <reference field="0" count="1" selected="0">
            <x v="5"/>
          </reference>
        </references>
      </pivotArea>
    </chartFormat>
    <chartFormat chart="3" format="14">
      <pivotArea type="data" outline="0" fieldPosition="0">
        <references count="2">
          <reference field="4294967294" count="1" selected="0">
            <x v="0"/>
          </reference>
          <reference field="0" count="1" selected="0">
            <x v="4"/>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0">
  <location ref="A28:B32" firstHeaderRow="1" firstDataRow="1" firstDataCol="1"/>
  <pivotFields count="12">
    <pivotField axis="axisRow" showAll="0">
      <items count="7">
        <item m="1" x="3"/>
        <item m="1" x="5"/>
        <item m="1" x="4"/>
        <item x="0"/>
        <item x="1"/>
        <item x="2"/>
        <item t="default"/>
      </items>
    </pivotField>
    <pivotField showAll="0"/>
    <pivotField numFmtId="167" showAll="0"/>
    <pivotField numFmtId="167" showAll="0"/>
    <pivotField numFmtId="166" showAll="0"/>
    <pivotField numFmtId="166" showAll="0"/>
    <pivotField numFmtId="166" showAll="0"/>
    <pivotField numFmtId="43" showAll="0"/>
    <pivotField numFmtId="2" showAll="0"/>
    <pivotField numFmtId="165" showAll="0"/>
    <pivotField numFmtId="165" showAll="0"/>
    <pivotField dataField="1" numFmtId="166" showAll="0"/>
  </pivotFields>
  <rowFields count="1">
    <field x="0"/>
  </rowFields>
  <rowItems count="4">
    <i>
      <x v="3"/>
    </i>
    <i>
      <x v="4"/>
    </i>
    <i>
      <x v="5"/>
    </i>
    <i t="grand">
      <x/>
    </i>
  </rowItems>
  <colItems count="1">
    <i/>
  </colItems>
  <dataFields count="1">
    <dataField name="Sum of Leaf Spring_x000a_Broken" fld="11" baseField="0" baseItem="0"/>
  </dataFields>
  <formats count="6">
    <format dxfId="133">
      <pivotArea type="all" dataOnly="0" outline="0" fieldPosition="0"/>
    </format>
    <format dxfId="132">
      <pivotArea outline="0" collapsedLevelsAreSubtotals="1" fieldPosition="0"/>
    </format>
    <format dxfId="131">
      <pivotArea field="0" type="button" dataOnly="0" labelOnly="1" outline="0" axis="axisRow" fieldPosition="0"/>
    </format>
    <format dxfId="130">
      <pivotArea dataOnly="0" labelOnly="1" outline="0" axis="axisValues" fieldPosition="0"/>
    </format>
    <format dxfId="129">
      <pivotArea dataOnly="0" labelOnly="1" fieldPosition="0">
        <references count="1">
          <reference field="0" count="0"/>
        </references>
      </pivotArea>
    </format>
    <format dxfId="128">
      <pivotArea dataOnly="0" labelOnly="1" grandRow="1" outline="0" fieldPosition="0"/>
    </format>
  </formats>
  <chartFormats count="5">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0" count="1" selected="0">
            <x v="0"/>
          </reference>
        </references>
      </pivotArea>
    </chartFormat>
    <chartFormat chart="19" format="4">
      <pivotArea type="data" outline="0" fieldPosition="0">
        <references count="2">
          <reference field="4294967294" count="1" selected="0">
            <x v="0"/>
          </reference>
          <reference field="0" count="1" selected="0">
            <x v="1"/>
          </reference>
        </references>
      </pivotArea>
    </chartFormat>
    <chartFormat chart="19" format="5">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A20:B24" firstHeaderRow="1" firstDataRow="1" firstDataCol="1"/>
  <pivotFields count="12">
    <pivotField axis="axisRow" showAll="0">
      <items count="7">
        <item m="1" x="5"/>
        <item m="1" x="3"/>
        <item m="1" x="4"/>
        <item x="0"/>
        <item x="1"/>
        <item x="2"/>
        <item t="default"/>
      </items>
    </pivotField>
    <pivotField showAll="0"/>
    <pivotField numFmtId="167" showAll="0"/>
    <pivotField numFmtId="167" showAll="0"/>
    <pivotField numFmtId="166" showAll="0"/>
    <pivotField numFmtId="166" showAll="0"/>
    <pivotField dataField="1" numFmtId="166" showAll="0"/>
    <pivotField numFmtId="43" showAll="0"/>
    <pivotField numFmtId="2" showAll="0"/>
    <pivotField numFmtId="165" showAll="0"/>
    <pivotField numFmtId="165" showAll="0"/>
    <pivotField numFmtId="166" showAll="0"/>
  </pivotFields>
  <rowFields count="1">
    <field x="0"/>
  </rowFields>
  <rowItems count="4">
    <i>
      <x v="3"/>
    </i>
    <i>
      <x v="4"/>
    </i>
    <i>
      <x v="5"/>
    </i>
    <i t="grand">
      <x/>
    </i>
  </rowItems>
  <colItems count="1">
    <i/>
  </colItems>
  <dataFields count="1">
    <dataField name="Sum of Total Trip" fld="6" baseField="0" baseItem="0"/>
  </dataFields>
  <formats count="6">
    <format dxfId="139">
      <pivotArea type="all" dataOnly="0" outline="0" fieldPosition="0"/>
    </format>
    <format dxfId="138">
      <pivotArea outline="0" collapsedLevelsAreSubtotals="1" fieldPosition="0"/>
    </format>
    <format dxfId="137">
      <pivotArea field="0" type="button" dataOnly="0" labelOnly="1" outline="0" axis="axisRow" fieldPosition="0"/>
    </format>
    <format dxfId="136">
      <pivotArea dataOnly="0" labelOnly="1" outline="0" axis="axisValues" fieldPosition="0"/>
    </format>
    <format dxfId="135">
      <pivotArea dataOnly="0" labelOnly="1" fieldPosition="0">
        <references count="1">
          <reference field="0" count="0"/>
        </references>
      </pivotArea>
    </format>
    <format dxfId="134">
      <pivotArea dataOnly="0" labelOnly="1" grandRow="1" outline="0" fieldPosition="0"/>
    </format>
  </formats>
  <chartFormats count="5">
    <chartFormat chart="5"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0" count="1" selected="0">
            <x v="2"/>
          </reference>
        </references>
      </pivotArea>
    </chartFormat>
    <chartFormat chart="15" format="4">
      <pivotArea type="data" outline="0" fieldPosition="0">
        <references count="2">
          <reference field="4294967294" count="1" selected="0">
            <x v="0"/>
          </reference>
          <reference field="0" count="1" selected="0">
            <x v="1"/>
          </reference>
        </references>
      </pivotArea>
    </chartFormat>
    <chartFormat chart="15" format="5">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5">
  <location ref="A47:B51" firstHeaderRow="1" firstDataRow="1" firstDataCol="1"/>
  <pivotFields count="12">
    <pivotField axis="axisRow" showAll="0">
      <items count="7">
        <item m="1" x="3"/>
        <item m="1" x="5"/>
        <item m="1" x="4"/>
        <item x="0"/>
        <item x="1"/>
        <item x="2"/>
        <item t="default"/>
      </items>
    </pivotField>
    <pivotField showAll="0"/>
    <pivotField numFmtId="167" showAll="0"/>
    <pivotField numFmtId="167" showAll="0"/>
    <pivotField numFmtId="166" showAll="0"/>
    <pivotField numFmtId="166" showAll="0"/>
    <pivotField numFmtId="166" showAll="0"/>
    <pivotField numFmtId="43" showAll="0"/>
    <pivotField numFmtId="2" showAll="0"/>
    <pivotField numFmtId="165" showAll="0"/>
    <pivotField dataField="1" numFmtId="165" showAll="0"/>
    <pivotField numFmtId="166" showAll="0"/>
  </pivotFields>
  <rowFields count="1">
    <field x="0"/>
  </rowFields>
  <rowItems count="4">
    <i>
      <x v="3"/>
    </i>
    <i>
      <x v="4"/>
    </i>
    <i>
      <x v="5"/>
    </i>
    <i t="grand">
      <x/>
    </i>
  </rowItems>
  <colItems count="1">
    <i/>
  </colItems>
  <dataFields count="1">
    <dataField name="Sum of Prod. M3 / Hr." fld="10" baseField="0" baseItem="0"/>
  </dataFields>
  <formats count="8">
    <format dxfId="147">
      <pivotArea type="all" dataOnly="0" outline="0" fieldPosition="0"/>
    </format>
    <format dxfId="146">
      <pivotArea collapsedLevelsAreSubtotals="1" fieldPosition="0">
        <references count="1">
          <reference field="0" count="0"/>
        </references>
      </pivotArea>
    </format>
    <format dxfId="145">
      <pivotArea type="all" dataOnly="0" outline="0" fieldPosition="0"/>
    </format>
    <format dxfId="144">
      <pivotArea outline="0" collapsedLevelsAreSubtotals="1" fieldPosition="0"/>
    </format>
    <format dxfId="143">
      <pivotArea field="0" type="button" dataOnly="0" labelOnly="1" outline="0" axis="axisRow" fieldPosition="0"/>
    </format>
    <format dxfId="142">
      <pivotArea dataOnly="0" labelOnly="1" outline="0" axis="axisValues" fieldPosition="0"/>
    </format>
    <format dxfId="141">
      <pivotArea dataOnly="0" labelOnly="1" fieldPosition="0">
        <references count="1">
          <reference field="0" count="0"/>
        </references>
      </pivotArea>
    </format>
    <format dxfId="140">
      <pivotArea dataOnly="0" labelOnly="1" grandRow="1" outline="0" fieldPosition="0"/>
    </format>
  </formats>
  <chartFormats count="7">
    <chartFormat chart="30"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4" format="3">
      <pivotArea type="data" outline="0" fieldPosition="0">
        <references count="2">
          <reference field="4294967294" count="1" selected="0">
            <x v="0"/>
          </reference>
          <reference field="0" count="1" selected="0">
            <x v="0"/>
          </reference>
        </references>
      </pivotArea>
    </chartFormat>
    <chartFormat chart="34" format="4">
      <pivotArea type="data" outline="0" fieldPosition="0">
        <references count="2">
          <reference field="4294967294" count="1" selected="0">
            <x v="0"/>
          </reference>
          <reference field="0" count="1" selected="0">
            <x v="1"/>
          </reference>
        </references>
      </pivotArea>
    </chartFormat>
    <chartFormat chart="34" format="5">
      <pivotArea type="data" outline="0" fieldPosition="0">
        <references count="2">
          <reference field="4294967294" count="1" selected="0">
            <x v="0"/>
          </reference>
          <reference field="0" count="1" selected="0">
            <x v="2"/>
          </reference>
        </references>
      </pivotArea>
    </chartFormat>
    <chartFormat chart="34" format="6">
      <pivotArea type="data" outline="0" fieldPosition="0">
        <references count="2">
          <reference field="4294967294" count="1" selected="0">
            <x v="0"/>
          </reference>
          <reference field="0" count="1" selected="0">
            <x v="4"/>
          </reference>
        </references>
      </pivotArea>
    </chartFormat>
    <chartFormat chart="34" format="7">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hift_In_Charge_Name" sourceName="Shift In-Charge Name">
  <pivotTables>
    <pivotTable tabId="4" name="PivotTable6"/>
    <pivotTable tabId="4" name="PivotTable1"/>
    <pivotTable tabId="4" name="PivotTable2"/>
    <pivotTable tabId="4" name="PivotTable3"/>
    <pivotTable tabId="4" name="PivotTable4"/>
    <pivotTable tabId="4" name="PivotTable5"/>
  </pivotTables>
  <data>
    <tabular pivotCacheId="1">
      <items count="6">
        <i x="0" s="1"/>
        <i x="2" s="1"/>
        <i x="1" s="1"/>
        <i x="4" s="1" nd="1"/>
        <i x="5"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hift In-Charge Name" cache="Slicer_Shift_In_Charge_Name" caption="Shift In-Charge Name"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In-Charge Name" cache="Slicer_Shift_In_Charge_Name" caption="In-Charge Name" style="Slicer Style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O22"/>
  <sheetViews>
    <sheetView showGridLines="0" zoomScale="90" zoomScaleNormal="90" workbookViewId="0">
      <selection activeCell="K22" sqref="K22"/>
    </sheetView>
  </sheetViews>
  <sheetFormatPr defaultColWidth="10.28515625" defaultRowHeight="12" x14ac:dyDescent="0.2"/>
  <cols>
    <col min="1" max="2" width="1.85546875" style="1" customWidth="1"/>
    <col min="3" max="3" width="2.140625" style="1" customWidth="1"/>
    <col min="4" max="4" width="20.140625" style="2" customWidth="1"/>
    <col min="5" max="5" width="9.140625" style="2" customWidth="1"/>
    <col min="6" max="6" width="8.5703125" style="4" customWidth="1"/>
    <col min="7" max="7" width="8.140625" style="4" customWidth="1"/>
    <col min="8" max="8" width="7.140625" style="4" customWidth="1"/>
    <col min="9" max="9" width="10" style="4" customWidth="1"/>
    <col min="10" max="10" width="8.85546875" style="4" customWidth="1"/>
    <col min="11" max="11" width="10.42578125" style="1" customWidth="1"/>
    <col min="12" max="12" width="13.5703125" style="1" customWidth="1"/>
    <col min="13" max="14" width="7" style="1" customWidth="1"/>
    <col min="15" max="15" width="6.140625" style="1" customWidth="1"/>
    <col min="16" max="16" width="2.28515625" style="1" customWidth="1"/>
    <col min="17" max="16384" width="10.28515625" style="1"/>
  </cols>
  <sheetData>
    <row r="1" spans="4:15" x14ac:dyDescent="0.2">
      <c r="E1" s="3"/>
      <c r="K1" s="5"/>
      <c r="L1" s="6"/>
      <c r="M1" s="6"/>
    </row>
    <row r="2" spans="4:15" ht="15" x14ac:dyDescent="0.25">
      <c r="D2" s="7" t="s">
        <v>42</v>
      </c>
      <c r="E2" s="8"/>
      <c r="F2" s="8"/>
      <c r="G2" s="8"/>
      <c r="H2" s="8"/>
      <c r="I2" s="8"/>
      <c r="J2" s="8"/>
      <c r="K2" s="9" t="s">
        <v>43</v>
      </c>
      <c r="L2" s="8" t="s">
        <v>0</v>
      </c>
      <c r="M2" s="8"/>
      <c r="N2" s="8"/>
      <c r="O2" s="8"/>
    </row>
    <row r="3" spans="4:15" ht="15" x14ac:dyDescent="0.25">
      <c r="D3" s="10" t="s">
        <v>1</v>
      </c>
      <c r="F3" s="11"/>
      <c r="G3" s="11"/>
      <c r="H3" s="12" t="s">
        <v>2</v>
      </c>
      <c r="I3" s="13">
        <v>46143</v>
      </c>
      <c r="J3" s="11" t="s">
        <v>3</v>
      </c>
      <c r="K3" s="13">
        <v>46173</v>
      </c>
      <c r="L3" s="44"/>
      <c r="M3" s="45"/>
      <c r="N3" s="46"/>
      <c r="O3" s="46"/>
    </row>
    <row r="4" spans="4:15" x14ac:dyDescent="0.2">
      <c r="D4" s="16"/>
      <c r="E4" s="17"/>
      <c r="F4" s="17"/>
      <c r="G4" s="17"/>
      <c r="H4" s="17"/>
      <c r="I4" s="17"/>
      <c r="J4" s="17"/>
      <c r="K4" s="17"/>
      <c r="L4" s="52"/>
      <c r="M4" s="47"/>
      <c r="N4" s="48"/>
      <c r="O4" s="48"/>
    </row>
    <row r="5" spans="4:15" ht="15" customHeight="1" x14ac:dyDescent="0.2">
      <c r="D5" s="18" t="s">
        <v>12</v>
      </c>
      <c r="E5" s="19"/>
      <c r="F5" s="20"/>
      <c r="G5" s="20"/>
      <c r="H5" s="21"/>
      <c r="I5" s="21"/>
      <c r="J5" s="21"/>
      <c r="K5" s="21"/>
      <c r="L5" s="53" t="s">
        <v>13</v>
      </c>
      <c r="M5" s="21"/>
      <c r="N5" s="49"/>
      <c r="O5" s="49"/>
    </row>
    <row r="6" spans="4:15" ht="48" x14ac:dyDescent="0.2">
      <c r="D6" s="54" t="s">
        <v>14</v>
      </c>
      <c r="E6" s="22" t="s">
        <v>24</v>
      </c>
      <c r="F6" s="50" t="s">
        <v>4</v>
      </c>
      <c r="G6" s="22" t="s">
        <v>5</v>
      </c>
      <c r="H6" s="14" t="s">
        <v>6</v>
      </c>
      <c r="I6" s="14" t="s">
        <v>7</v>
      </c>
      <c r="J6" s="23" t="s">
        <v>15</v>
      </c>
      <c r="K6" s="15" t="s">
        <v>8</v>
      </c>
      <c r="L6" s="24" t="s">
        <v>20</v>
      </c>
      <c r="M6" s="25" t="s">
        <v>9</v>
      </c>
      <c r="N6" s="26" t="s">
        <v>10</v>
      </c>
      <c r="O6" s="75" t="s">
        <v>25</v>
      </c>
    </row>
    <row r="7" spans="4:15" x14ac:dyDescent="0.2">
      <c r="D7" s="55" t="s">
        <v>44</v>
      </c>
      <c r="E7" s="51" t="s">
        <v>23</v>
      </c>
      <c r="F7" s="51">
        <v>876.39999999999986</v>
      </c>
      <c r="G7" s="56">
        <v>786.50000000000011</v>
      </c>
      <c r="H7" s="57">
        <v>6372</v>
      </c>
      <c r="I7" s="57">
        <v>2784</v>
      </c>
      <c r="J7" s="58">
        <v>9156</v>
      </c>
      <c r="K7" s="59">
        <v>143712</v>
      </c>
      <c r="L7" s="60">
        <v>0.63809188935772199</v>
      </c>
      <c r="M7" s="61">
        <v>11.641449459631277</v>
      </c>
      <c r="N7" s="62">
        <v>182.72345835982196</v>
      </c>
      <c r="O7" s="63">
        <v>21</v>
      </c>
    </row>
    <row r="8" spans="4:15" x14ac:dyDescent="0.2">
      <c r="D8" s="55" t="s">
        <v>45</v>
      </c>
      <c r="E8" s="51" t="s">
        <v>22</v>
      </c>
      <c r="F8" s="51">
        <v>912.99999999999989</v>
      </c>
      <c r="G8" s="56">
        <v>799.90000000000009</v>
      </c>
      <c r="H8" s="57">
        <v>6673</v>
      </c>
      <c r="I8" s="57">
        <v>2817</v>
      </c>
      <c r="J8" s="58">
        <v>9490</v>
      </c>
      <c r="K8" s="59">
        <v>149023</v>
      </c>
      <c r="L8" s="60">
        <v>0.61587067931523176</v>
      </c>
      <c r="M8" s="61">
        <v>11.863982997874732</v>
      </c>
      <c r="N8" s="62">
        <v>186.30203775471932</v>
      </c>
      <c r="O8" s="63">
        <v>37</v>
      </c>
    </row>
    <row r="9" spans="4:15" x14ac:dyDescent="0.2">
      <c r="D9" s="55" t="s">
        <v>46</v>
      </c>
      <c r="E9" s="51" t="s">
        <v>21</v>
      </c>
      <c r="F9" s="51">
        <v>891.49999999999932</v>
      </c>
      <c r="G9" s="56">
        <v>786.29999999999984</v>
      </c>
      <c r="H9" s="57">
        <v>6947</v>
      </c>
      <c r="I9" s="57">
        <v>2931</v>
      </c>
      <c r="J9" s="58">
        <v>9878</v>
      </c>
      <c r="K9" s="59">
        <v>155117</v>
      </c>
      <c r="L9" s="60">
        <v>0.62286163692573904</v>
      </c>
      <c r="M9" s="61">
        <v>12.562635126542034</v>
      </c>
      <c r="N9" s="62">
        <v>197.27457713340968</v>
      </c>
      <c r="O9" s="63">
        <v>30</v>
      </c>
    </row>
    <row r="10" spans="4:15" x14ac:dyDescent="0.2">
      <c r="D10" s="64" t="s">
        <v>11</v>
      </c>
      <c r="E10" s="65"/>
      <c r="F10" s="66">
        <v>2680.8999999999987</v>
      </c>
      <c r="G10" s="67">
        <v>2372.6999999999998</v>
      </c>
      <c r="H10" s="68">
        <v>19992</v>
      </c>
      <c r="I10" s="68">
        <v>8532</v>
      </c>
      <c r="J10" s="69">
        <v>28524</v>
      </c>
      <c r="K10" s="70">
        <v>447852</v>
      </c>
      <c r="L10" s="71">
        <v>0.62530691083334888</v>
      </c>
      <c r="M10" s="72">
        <v>12.021747376406626</v>
      </c>
      <c r="N10" s="73">
        <v>188.75205462131751</v>
      </c>
      <c r="O10" s="74">
        <v>88</v>
      </c>
    </row>
    <row r="11" spans="4:15" x14ac:dyDescent="0.2">
      <c r="D11" s="27"/>
      <c r="E11" s="28"/>
      <c r="F11" s="29"/>
      <c r="G11" s="29"/>
      <c r="H11" s="29"/>
      <c r="I11" s="29"/>
      <c r="J11" s="29"/>
      <c r="K11" s="29"/>
      <c r="L11" s="30" t="b">
        <v>1</v>
      </c>
      <c r="M11" s="29"/>
      <c r="N11" s="31"/>
      <c r="O11" s="31"/>
    </row>
    <row r="12" spans="4:15" ht="12" hidden="1" customHeight="1" x14ac:dyDescent="0.2"/>
    <row r="13" spans="4:15" ht="15" hidden="1" customHeight="1" x14ac:dyDescent="0.2">
      <c r="D13" s="32" t="s">
        <v>16</v>
      </c>
      <c r="E13" s="32"/>
      <c r="F13" s="33"/>
      <c r="G13" s="33"/>
      <c r="H13" s="33"/>
      <c r="I13" s="33"/>
      <c r="J13" s="33"/>
      <c r="L13" s="34"/>
      <c r="M13" s="34"/>
      <c r="N13" s="34"/>
      <c r="O13" s="34"/>
    </row>
    <row r="14" spans="4:15" ht="12.75" hidden="1" customHeight="1" x14ac:dyDescent="0.2">
      <c r="D14" s="35" t="s">
        <v>17</v>
      </c>
      <c r="E14" s="35"/>
      <c r="F14" s="36"/>
      <c r="G14" s="37">
        <v>0</v>
      </c>
      <c r="H14" s="38" t="s">
        <v>18</v>
      </c>
      <c r="I14" s="39">
        <v>0</v>
      </c>
      <c r="J14" s="40" t="s">
        <v>19</v>
      </c>
      <c r="L14" s="41"/>
      <c r="M14" s="42"/>
      <c r="N14" s="43"/>
      <c r="O14" s="43"/>
    </row>
    <row r="15" spans="4:15" ht="12.75" hidden="1" customHeight="1" x14ac:dyDescent="0.2">
      <c r="D15" s="35"/>
      <c r="E15" s="35"/>
      <c r="F15" s="36"/>
      <c r="G15" s="37"/>
      <c r="H15" s="38"/>
      <c r="I15" s="39"/>
      <c r="J15" s="40"/>
      <c r="L15" s="41"/>
      <c r="M15" s="42"/>
      <c r="N15" s="43"/>
      <c r="O15" s="43"/>
    </row>
    <row r="16" spans="4:15" ht="12.75" hidden="1" customHeight="1" x14ac:dyDescent="0.2">
      <c r="D16" s="35"/>
      <c r="E16" s="35"/>
      <c r="F16" s="36"/>
      <c r="G16" s="37"/>
      <c r="H16" s="38"/>
      <c r="I16" s="39"/>
      <c r="J16" s="40"/>
      <c r="L16" s="41"/>
      <c r="M16" s="42"/>
      <c r="N16" s="43"/>
      <c r="O16" s="43"/>
    </row>
    <row r="17" spans="4:15" ht="12.75" hidden="1" customHeight="1" x14ac:dyDescent="0.2">
      <c r="D17" s="35"/>
      <c r="E17" s="35"/>
      <c r="F17" s="36"/>
      <c r="G17" s="37"/>
      <c r="H17" s="38"/>
      <c r="I17" s="39"/>
      <c r="J17" s="40"/>
      <c r="L17" s="41"/>
      <c r="M17" s="42"/>
      <c r="N17" s="43"/>
      <c r="O17" s="43"/>
    </row>
    <row r="18" spans="4:15" ht="12" hidden="1" customHeight="1" x14ac:dyDescent="0.2">
      <c r="F18" s="2"/>
      <c r="G18" s="2"/>
      <c r="H18" s="2"/>
      <c r="I18" s="2"/>
      <c r="J18" s="2"/>
      <c r="L18" s="2"/>
      <c r="M18" s="2"/>
    </row>
    <row r="19" spans="4:15" ht="12" hidden="1" customHeight="1" x14ac:dyDescent="0.2"/>
    <row r="20" spans="4:15" ht="12" hidden="1" customHeight="1" x14ac:dyDescent="0.2"/>
    <row r="21" spans="4:15" ht="9.75" customHeight="1" x14ac:dyDescent="0.2"/>
    <row r="22" spans="4:15" ht="16.5" customHeight="1" x14ac:dyDescent="0.2"/>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55"/>
  <sheetViews>
    <sheetView workbookViewId="0">
      <selection activeCell="B7" sqref="B7"/>
    </sheetView>
  </sheetViews>
  <sheetFormatPr defaultRowHeight="15" x14ac:dyDescent="0.25"/>
  <cols>
    <col min="1" max="1" width="13.140625" customWidth="1"/>
    <col min="2" max="2" width="25.140625" customWidth="1"/>
    <col min="3" max="3" width="23.7109375" bestFit="1" customWidth="1"/>
    <col min="4" max="4" width="25.140625" bestFit="1" customWidth="1"/>
    <col min="5" max="5" width="16" bestFit="1" customWidth="1"/>
  </cols>
  <sheetData>
    <row r="2" spans="1:5" x14ac:dyDescent="0.25">
      <c r="A2" s="101" t="s">
        <v>34</v>
      </c>
      <c r="B2" s="102"/>
      <c r="C2" s="102"/>
      <c r="D2" s="102"/>
      <c r="E2" s="103"/>
    </row>
    <row r="3" spans="1:5" x14ac:dyDescent="0.25">
      <c r="A3" s="87" t="s">
        <v>26</v>
      </c>
      <c r="B3" s="88" t="s">
        <v>35</v>
      </c>
      <c r="C3" s="77"/>
      <c r="D3" s="77"/>
      <c r="E3" s="78"/>
    </row>
    <row r="4" spans="1:5" x14ac:dyDescent="0.25">
      <c r="A4" s="89" t="s">
        <v>44</v>
      </c>
      <c r="B4" s="84">
        <v>143712</v>
      </c>
      <c r="C4" s="77"/>
      <c r="D4" s="77"/>
      <c r="E4" s="78"/>
    </row>
    <row r="5" spans="1:5" x14ac:dyDescent="0.25">
      <c r="A5" s="90" t="s">
        <v>45</v>
      </c>
      <c r="B5" s="85">
        <v>149023</v>
      </c>
      <c r="C5" s="77"/>
      <c r="D5" s="77"/>
      <c r="E5" s="78"/>
    </row>
    <row r="6" spans="1:5" x14ac:dyDescent="0.25">
      <c r="A6" s="91" t="s">
        <v>46</v>
      </c>
      <c r="B6" s="85">
        <v>155117</v>
      </c>
      <c r="C6" s="77"/>
      <c r="D6" s="77"/>
      <c r="E6" s="78"/>
    </row>
    <row r="7" spans="1:5" x14ac:dyDescent="0.25">
      <c r="A7" s="92" t="s">
        <v>27</v>
      </c>
      <c r="B7" s="86">
        <v>149284</v>
      </c>
      <c r="C7" s="77"/>
      <c r="D7" s="77"/>
      <c r="E7" s="78"/>
    </row>
    <row r="8" spans="1:5" x14ac:dyDescent="0.25">
      <c r="A8" s="76"/>
      <c r="B8" s="77"/>
      <c r="C8" s="77"/>
      <c r="D8" s="77"/>
      <c r="E8" s="78"/>
    </row>
    <row r="9" spans="1:5" x14ac:dyDescent="0.25">
      <c r="A9" s="81"/>
      <c r="B9" s="82"/>
      <c r="C9" s="82"/>
      <c r="D9" s="82"/>
      <c r="E9" s="83"/>
    </row>
    <row r="12" spans="1:5" ht="23.25" x14ac:dyDescent="0.35">
      <c r="A12" s="104" t="s">
        <v>33</v>
      </c>
      <c r="B12" s="105"/>
      <c r="C12" s="105"/>
      <c r="D12" s="105"/>
      <c r="E12" s="106"/>
    </row>
    <row r="13" spans="1:5" x14ac:dyDescent="0.25">
      <c r="A13" s="98" t="s">
        <v>28</v>
      </c>
      <c r="B13" s="99" t="s">
        <v>31</v>
      </c>
      <c r="C13" s="99" t="s">
        <v>32</v>
      </c>
      <c r="D13" s="99" t="s">
        <v>30</v>
      </c>
      <c r="E13" s="100" t="s">
        <v>29</v>
      </c>
    </row>
    <row r="14" spans="1:5" x14ac:dyDescent="0.25">
      <c r="A14" s="95">
        <v>447852</v>
      </c>
      <c r="B14" s="96">
        <v>12.022689194682682</v>
      </c>
      <c r="C14" s="96">
        <v>188.76669108265034</v>
      </c>
      <c r="D14" s="96">
        <v>88</v>
      </c>
      <c r="E14" s="97">
        <v>28524</v>
      </c>
    </row>
    <row r="15" spans="1:5" x14ac:dyDescent="0.25">
      <c r="A15" s="76" t="s">
        <v>28</v>
      </c>
      <c r="B15" s="77" t="s">
        <v>31</v>
      </c>
      <c r="C15" s="77" t="s">
        <v>32</v>
      </c>
      <c r="D15" s="77" t="s">
        <v>30</v>
      </c>
      <c r="E15" s="78" t="s">
        <v>29</v>
      </c>
    </row>
    <row r="16" spans="1:5" x14ac:dyDescent="0.25">
      <c r="A16" s="79">
        <v>447852</v>
      </c>
      <c r="B16" s="80">
        <v>12.022689194682682</v>
      </c>
      <c r="C16" s="80">
        <v>188.76669108265034</v>
      </c>
      <c r="D16" s="77">
        <v>88</v>
      </c>
      <c r="E16" s="78">
        <v>28524</v>
      </c>
    </row>
    <row r="17" spans="1:5" x14ac:dyDescent="0.25">
      <c r="A17" s="81"/>
      <c r="B17" s="82"/>
      <c r="C17" s="82"/>
      <c r="D17" s="82"/>
      <c r="E17" s="83"/>
    </row>
    <row r="19" spans="1:5" x14ac:dyDescent="0.25">
      <c r="A19" s="101" t="s">
        <v>36</v>
      </c>
      <c r="B19" s="102"/>
      <c r="C19" s="102"/>
      <c r="D19" s="103"/>
    </row>
    <row r="20" spans="1:5" x14ac:dyDescent="0.25">
      <c r="A20" s="87" t="s">
        <v>26</v>
      </c>
      <c r="B20" s="88" t="s">
        <v>29</v>
      </c>
      <c r="C20" s="77"/>
      <c r="D20" s="78"/>
    </row>
    <row r="21" spans="1:5" x14ac:dyDescent="0.25">
      <c r="A21" s="89" t="s">
        <v>44</v>
      </c>
      <c r="B21" s="84">
        <v>9156</v>
      </c>
      <c r="C21" s="77"/>
      <c r="D21" s="78"/>
    </row>
    <row r="22" spans="1:5" x14ac:dyDescent="0.25">
      <c r="A22" s="90" t="s">
        <v>45</v>
      </c>
      <c r="B22" s="85">
        <v>9490</v>
      </c>
      <c r="C22" s="77"/>
      <c r="D22" s="78"/>
    </row>
    <row r="23" spans="1:5" x14ac:dyDescent="0.25">
      <c r="A23" s="91" t="s">
        <v>46</v>
      </c>
      <c r="B23" s="85">
        <v>9878</v>
      </c>
      <c r="C23" s="77"/>
      <c r="D23" s="78"/>
    </row>
    <row r="24" spans="1:5" x14ac:dyDescent="0.25">
      <c r="A24" s="92" t="s">
        <v>27</v>
      </c>
      <c r="B24" s="86">
        <v>28524</v>
      </c>
      <c r="C24" s="77"/>
      <c r="D24" s="78"/>
    </row>
    <row r="25" spans="1:5" x14ac:dyDescent="0.25">
      <c r="A25" s="81"/>
      <c r="B25" s="82"/>
      <c r="C25" s="82"/>
      <c r="D25" s="83"/>
    </row>
    <row r="27" spans="1:5" x14ac:dyDescent="0.25">
      <c r="A27" s="101" t="s">
        <v>37</v>
      </c>
      <c r="B27" s="102"/>
      <c r="C27" s="102"/>
      <c r="D27" s="103"/>
    </row>
    <row r="28" spans="1:5" x14ac:dyDescent="0.25">
      <c r="A28" s="87" t="s">
        <v>26</v>
      </c>
      <c r="B28" s="88" t="s">
        <v>30</v>
      </c>
      <c r="C28" s="77"/>
      <c r="D28" s="78"/>
    </row>
    <row r="29" spans="1:5" x14ac:dyDescent="0.25">
      <c r="A29" s="89" t="s">
        <v>44</v>
      </c>
      <c r="B29" s="84">
        <v>21</v>
      </c>
      <c r="C29" s="77"/>
      <c r="D29" s="78"/>
    </row>
    <row r="30" spans="1:5" x14ac:dyDescent="0.25">
      <c r="A30" s="90" t="s">
        <v>45</v>
      </c>
      <c r="B30" s="85">
        <v>37</v>
      </c>
      <c r="C30" s="77"/>
      <c r="D30" s="78"/>
    </row>
    <row r="31" spans="1:5" x14ac:dyDescent="0.25">
      <c r="A31" s="91" t="s">
        <v>46</v>
      </c>
      <c r="B31" s="85">
        <v>30</v>
      </c>
      <c r="C31" s="77"/>
      <c r="D31" s="78"/>
    </row>
    <row r="32" spans="1:5" x14ac:dyDescent="0.25">
      <c r="A32" s="92" t="s">
        <v>27</v>
      </c>
      <c r="B32" s="86">
        <v>88</v>
      </c>
      <c r="C32" s="77"/>
      <c r="D32" s="78"/>
    </row>
    <row r="33" spans="1:4" x14ac:dyDescent="0.25">
      <c r="A33" s="76"/>
      <c r="B33" s="77"/>
      <c r="C33" s="77"/>
      <c r="D33" s="78"/>
    </row>
    <row r="34" spans="1:4" x14ac:dyDescent="0.25">
      <c r="A34" s="81"/>
      <c r="B34" s="82"/>
      <c r="C34" s="82"/>
      <c r="D34" s="83"/>
    </row>
    <row r="36" spans="1:4" x14ac:dyDescent="0.25">
      <c r="A36" s="101" t="s">
        <v>39</v>
      </c>
      <c r="B36" s="102"/>
      <c r="C36" s="102"/>
      <c r="D36" s="103"/>
    </row>
    <row r="37" spans="1:4" x14ac:dyDescent="0.25">
      <c r="A37" s="87" t="s">
        <v>26</v>
      </c>
      <c r="B37" s="88" t="s">
        <v>38</v>
      </c>
      <c r="C37" s="77"/>
      <c r="D37" s="78"/>
    </row>
    <row r="38" spans="1:4" x14ac:dyDescent="0.25">
      <c r="A38" s="89" t="s">
        <v>44</v>
      </c>
      <c r="B38" s="93">
        <v>11.641449459631277</v>
      </c>
      <c r="C38" s="77"/>
      <c r="D38" s="78"/>
    </row>
    <row r="39" spans="1:4" x14ac:dyDescent="0.25">
      <c r="A39" s="90" t="s">
        <v>45</v>
      </c>
      <c r="B39" s="94">
        <v>11.863982997874732</v>
      </c>
      <c r="C39" s="77"/>
      <c r="D39" s="78"/>
    </row>
    <row r="40" spans="1:4" x14ac:dyDescent="0.25">
      <c r="A40" s="91" t="s">
        <v>46</v>
      </c>
      <c r="B40" s="94">
        <v>12.562635126542034</v>
      </c>
      <c r="C40" s="77"/>
      <c r="D40" s="78"/>
    </row>
    <row r="41" spans="1:4" x14ac:dyDescent="0.25">
      <c r="A41" s="92" t="s">
        <v>27</v>
      </c>
      <c r="B41" s="86">
        <v>36.068067584048045</v>
      </c>
      <c r="C41" s="77"/>
      <c r="D41" s="78"/>
    </row>
    <row r="42" spans="1:4" x14ac:dyDescent="0.25">
      <c r="A42" s="76"/>
      <c r="B42" s="77"/>
      <c r="C42" s="77"/>
      <c r="D42" s="78"/>
    </row>
    <row r="43" spans="1:4" x14ac:dyDescent="0.25">
      <c r="A43" s="76"/>
      <c r="B43" s="77"/>
      <c r="C43" s="77"/>
      <c r="D43" s="78"/>
    </row>
    <row r="44" spans="1:4" x14ac:dyDescent="0.25">
      <c r="A44" s="81"/>
      <c r="B44" s="82"/>
      <c r="C44" s="82"/>
      <c r="D44" s="83"/>
    </row>
    <row r="46" spans="1:4" x14ac:dyDescent="0.25">
      <c r="A46" s="101" t="s">
        <v>41</v>
      </c>
      <c r="B46" s="102"/>
      <c r="C46" s="102"/>
      <c r="D46" s="103"/>
    </row>
    <row r="47" spans="1:4" x14ac:dyDescent="0.25">
      <c r="A47" s="87" t="s">
        <v>26</v>
      </c>
      <c r="B47" s="88" t="s">
        <v>40</v>
      </c>
      <c r="C47" s="77"/>
      <c r="D47" s="78"/>
    </row>
    <row r="48" spans="1:4" x14ac:dyDescent="0.25">
      <c r="A48" s="89" t="s">
        <v>44</v>
      </c>
      <c r="B48" s="93">
        <v>182.72345835982196</v>
      </c>
      <c r="C48" s="77"/>
      <c r="D48" s="78"/>
    </row>
    <row r="49" spans="1:4" x14ac:dyDescent="0.25">
      <c r="A49" s="90" t="s">
        <v>45</v>
      </c>
      <c r="B49" s="94">
        <v>186.30203775471932</v>
      </c>
      <c r="C49" s="77"/>
      <c r="D49" s="78"/>
    </row>
    <row r="50" spans="1:4" x14ac:dyDescent="0.25">
      <c r="A50" s="91" t="s">
        <v>46</v>
      </c>
      <c r="B50" s="94">
        <v>197.27457713340968</v>
      </c>
      <c r="C50" s="77"/>
      <c r="D50" s="78"/>
    </row>
    <row r="51" spans="1:4" x14ac:dyDescent="0.25">
      <c r="A51" s="92" t="s">
        <v>27</v>
      </c>
      <c r="B51" s="86">
        <v>566.30007324795099</v>
      </c>
      <c r="C51" s="77"/>
      <c r="D51" s="78"/>
    </row>
    <row r="52" spans="1:4" x14ac:dyDescent="0.25">
      <c r="A52" s="76"/>
      <c r="B52" s="77"/>
      <c r="C52" s="77"/>
      <c r="D52" s="78"/>
    </row>
    <row r="53" spans="1:4" x14ac:dyDescent="0.25">
      <c r="A53" s="76"/>
      <c r="B53" s="77"/>
      <c r="C53" s="77"/>
      <c r="D53" s="78"/>
    </row>
    <row r="54" spans="1:4" x14ac:dyDescent="0.25">
      <c r="A54" s="76"/>
      <c r="B54" s="77"/>
      <c r="C54" s="77"/>
      <c r="D54" s="78"/>
    </row>
    <row r="55" spans="1:4" x14ac:dyDescent="0.25">
      <c r="A55" s="81"/>
      <c r="B55" s="82"/>
      <c r="C55" s="82"/>
      <c r="D55" s="83"/>
    </row>
  </sheetData>
  <mergeCells count="6">
    <mergeCell ref="A46:D46"/>
    <mergeCell ref="A12:E12"/>
    <mergeCell ref="A2:E2"/>
    <mergeCell ref="A19:D19"/>
    <mergeCell ref="A27:D27"/>
    <mergeCell ref="A36:D36"/>
  </mergeCells>
  <pageMargins left="0.7" right="0.7" top="0.75" bottom="0.75" header="0.3" footer="0.3"/>
  <pageSetup paperSize="9" orientation="portrait" verticalDpi="0" r:id="rId7"/>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A5" sqref="A5"/>
    </sheetView>
  </sheetViews>
  <sheetFormatPr defaultRowHeight="15" x14ac:dyDescent="0.25"/>
  <sheetData>
    <row r="1" ht="3.75" customHeight="1" x14ac:dyDescent="0.25"/>
  </sheetData>
  <sheetProtection algorithmName="SHA-512" hashValue="HJDQYJRCHIEZnPS5A6/jdyrkcoqFVmfUbO8ghBHfveCFM1wYL3gJjh+nKi+K1Y7y3k1B4Yd2Fi0daJmAYbW4xg==" saltValue="UJfQFHb5ZV3Sn/rq9WCB1Q==" spinCount="100000" sheet="1" objects="1" scenarios="1" selectLockedCells="1" pivotTables="0" selectUnlockedCells="1"/>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dc:creator>
  <cp:lastModifiedBy>VI</cp:lastModifiedBy>
  <dcterms:created xsi:type="dcterms:W3CDTF">2025-04-15T11:33:01Z</dcterms:created>
  <dcterms:modified xsi:type="dcterms:W3CDTF">2026-06-11T10:41:01Z</dcterms:modified>
</cp:coreProperties>
</file>